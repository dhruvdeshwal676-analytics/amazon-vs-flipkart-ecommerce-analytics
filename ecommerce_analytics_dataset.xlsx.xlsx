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93\Downloads\"/>
    </mc:Choice>
  </mc:AlternateContent>
  <xr:revisionPtr revIDLastSave="0" documentId="13_ncr:1_{ABD225A9-8911-438F-A888-54D463ED635F}" xr6:coauthVersionLast="36" xr6:coauthVersionMax="36" xr10:uidLastSave="{00000000-0000-0000-0000-000000000000}"/>
  <bookViews>
    <workbookView xWindow="0" yWindow="0" windowWidth="20490" windowHeight="6885" xr2:uid="{00000000-000D-0000-FFFF-FFFF00000000}"/>
  </bookViews>
  <sheets>
    <sheet name="customer survey" sheetId="1" r:id="rId1"/>
    <sheet name="Product_Insights" sheetId="2" r:id="rId2"/>
    <sheet name="sales" sheetId="3" r:id="rId3"/>
  </sheets>
  <calcPr calcId="19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E251" i="2"/>
  <c r="D251" i="2"/>
  <c r="C251" i="2"/>
  <c r="B251" i="2"/>
  <c r="A251" i="2"/>
  <c r="B250" i="2"/>
  <c r="C250" i="2"/>
  <c r="D25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3" i="2"/>
  <c r="D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2" i="2"/>
  <c r="B2" i="2"/>
  <c r="C2" i="2"/>
  <c r="D2" i="2"/>
  <c r="E2" i="2"/>
  <c r="F2" i="2"/>
  <c r="G2" i="2"/>
  <c r="H2" i="2"/>
  <c r="I2" i="2"/>
</calcChain>
</file>

<file path=xl/sharedStrings.xml><?xml version="1.0" encoding="utf-8"?>
<sst xmlns="http://schemas.openxmlformats.org/spreadsheetml/2006/main" count="2259" uniqueCount="626">
  <si>
    <t>Respondent_ID</t>
  </si>
  <si>
    <t>Age</t>
  </si>
  <si>
    <t>Gender</t>
  </si>
  <si>
    <t>Platform_Used</t>
  </si>
  <si>
    <t>Shopping_Frequency</t>
  </si>
  <si>
    <t>Preferred_Platform</t>
  </si>
  <si>
    <t>Satisfaction_Level</t>
  </si>
  <si>
    <t>Delivery_Rating</t>
  </si>
  <si>
    <t>Pricing_Rating</t>
  </si>
  <si>
    <t>UI_UX_Rating</t>
  </si>
  <si>
    <t>Influenced_by_Discounts</t>
  </si>
  <si>
    <t>18-25</t>
  </si>
  <si>
    <t>26-35</t>
  </si>
  <si>
    <t>36-45</t>
  </si>
  <si>
    <t>Female</t>
  </si>
  <si>
    <t>Male</t>
  </si>
  <si>
    <t>Flipkart</t>
  </si>
  <si>
    <t>Amazon</t>
  </si>
  <si>
    <t>Occasionally</t>
  </si>
  <si>
    <t>Weekly</t>
  </si>
  <si>
    <t>Monthly</t>
  </si>
  <si>
    <t>No</t>
  </si>
  <si>
    <t>Yes</t>
  </si>
  <si>
    <t>Product_ID</t>
  </si>
  <si>
    <t>Platform</t>
  </si>
  <si>
    <t>Category</t>
  </si>
  <si>
    <t>Product_Name</t>
  </si>
  <si>
    <t>Price</t>
  </si>
  <si>
    <t>Rating</t>
  </si>
  <si>
    <t>Number_of_Reviews</t>
  </si>
  <si>
    <t>Stock_Availability</t>
  </si>
  <si>
    <t>Discount_%</t>
  </si>
  <si>
    <t>Order_ID</t>
  </si>
  <si>
    <t>Order_Date</t>
  </si>
  <si>
    <t>Original_Price</t>
  </si>
  <si>
    <t>Final_Price</t>
  </si>
  <si>
    <t>Payment_Method</t>
  </si>
  <si>
    <t>Quantity</t>
  </si>
  <si>
    <t>ORD1</t>
  </si>
  <si>
    <t>2023-04-20</t>
  </si>
  <si>
    <t>Home &amp; Kitchen</t>
  </si>
  <si>
    <t>Debit Card</t>
  </si>
  <si>
    <t>ORD2</t>
  </si>
  <si>
    <t>2023-11-30</t>
  </si>
  <si>
    <t>Sports</t>
  </si>
  <si>
    <t>Cash on Delivery</t>
  </si>
  <si>
    <t>ORD3</t>
  </si>
  <si>
    <t>2023-08-23</t>
  </si>
  <si>
    <t>Credit Card</t>
  </si>
  <si>
    <t>ORD4</t>
  </si>
  <si>
    <t>2023-11-23</t>
  </si>
  <si>
    <t>UPI</t>
  </si>
  <si>
    <t>ORD5</t>
  </si>
  <si>
    <t>2023-02-17</t>
  </si>
  <si>
    <t>Electronics</t>
  </si>
  <si>
    <t>ORD6</t>
  </si>
  <si>
    <t>2023-07-24</t>
  </si>
  <si>
    <t>ORD7</t>
  </si>
  <si>
    <t>2023-12-18</t>
  </si>
  <si>
    <t>Fashion</t>
  </si>
  <si>
    <t>ORD8</t>
  </si>
  <si>
    <t>2023-12-26</t>
  </si>
  <si>
    <t>Beauty</t>
  </si>
  <si>
    <t>ORD9</t>
  </si>
  <si>
    <t>2023-10-11</t>
  </si>
  <si>
    <t>ORD10</t>
  </si>
  <si>
    <t>2023-05-04</t>
  </si>
  <si>
    <t>ORD11</t>
  </si>
  <si>
    <t>2023-12-16</t>
  </si>
  <si>
    <t>ORD12</t>
  </si>
  <si>
    <t>2023-11-24</t>
  </si>
  <si>
    <t>ORD13</t>
  </si>
  <si>
    <t>2023-12-13</t>
  </si>
  <si>
    <t>ORD14</t>
  </si>
  <si>
    <t>2023-12-04</t>
  </si>
  <si>
    <t>ORD15</t>
  </si>
  <si>
    <t>2023-01-18</t>
  </si>
  <si>
    <t>ORD16</t>
  </si>
  <si>
    <t>2023-04-25</t>
  </si>
  <si>
    <t>ORD17</t>
  </si>
  <si>
    <t>2023-03-31</t>
  </si>
  <si>
    <t>ORD18</t>
  </si>
  <si>
    <t>2023-09-03</t>
  </si>
  <si>
    <t>ORD19</t>
  </si>
  <si>
    <t>2023-09-23</t>
  </si>
  <si>
    <t>ORD20</t>
  </si>
  <si>
    <t>2023-02-05</t>
  </si>
  <si>
    <t>ORD21</t>
  </si>
  <si>
    <t>2023-11-29</t>
  </si>
  <si>
    <t>ORD22</t>
  </si>
  <si>
    <t>2023-05-27</t>
  </si>
  <si>
    <t>ORD23</t>
  </si>
  <si>
    <t>2023-05-10</t>
  </si>
  <si>
    <t>ORD24</t>
  </si>
  <si>
    <t>2023-06-04</t>
  </si>
  <si>
    <t>ORD25</t>
  </si>
  <si>
    <t>2023-01-24</t>
  </si>
  <si>
    <t>ORD26</t>
  </si>
  <si>
    <t>2023-12-06</t>
  </si>
  <si>
    <t>ORD27</t>
  </si>
  <si>
    <t>2023-08-02</t>
  </si>
  <si>
    <t>ORD28</t>
  </si>
  <si>
    <t>2023-04-08</t>
  </si>
  <si>
    <t>ORD29</t>
  </si>
  <si>
    <t>2023-08-01</t>
  </si>
  <si>
    <t>ORD30</t>
  </si>
  <si>
    <t>2023-01-09</t>
  </si>
  <si>
    <t>ORD31</t>
  </si>
  <si>
    <t>2023-01-08</t>
  </si>
  <si>
    <t>ORD32</t>
  </si>
  <si>
    <t>2023-01-21</t>
  </si>
  <si>
    <t>ORD33</t>
  </si>
  <si>
    <t>2023-08-03</t>
  </si>
  <si>
    <t>ORD34</t>
  </si>
  <si>
    <t>2023-12-24</t>
  </si>
  <si>
    <t>ORD35</t>
  </si>
  <si>
    <t>2023-12-14</t>
  </si>
  <si>
    <t>ORD36</t>
  </si>
  <si>
    <t>2023-04-14</t>
  </si>
  <si>
    <t>ORD37</t>
  </si>
  <si>
    <t>ORD38</t>
  </si>
  <si>
    <t>2023-07-17</t>
  </si>
  <si>
    <t>ORD39</t>
  </si>
  <si>
    <t>2023-04-18</t>
  </si>
  <si>
    <t>ORD40</t>
  </si>
  <si>
    <t>2023-09-06</t>
  </si>
  <si>
    <t>ORD41</t>
  </si>
  <si>
    <t>2023-08-10</t>
  </si>
  <si>
    <t>ORD42</t>
  </si>
  <si>
    <t>2023-11-13</t>
  </si>
  <si>
    <t>ORD43</t>
  </si>
  <si>
    <t>2023-07-28</t>
  </si>
  <si>
    <t>ORD44</t>
  </si>
  <si>
    <t>ORD45</t>
  </si>
  <si>
    <t>2023-03-16</t>
  </si>
  <si>
    <t>ORD46</t>
  </si>
  <si>
    <t>2023-06-30</t>
  </si>
  <si>
    <t>ORD47</t>
  </si>
  <si>
    <t>ORD48</t>
  </si>
  <si>
    <t>2023-03-04</t>
  </si>
  <si>
    <t>ORD49</t>
  </si>
  <si>
    <t>ORD50</t>
  </si>
  <si>
    <t>2023-02-19</t>
  </si>
  <si>
    <t>ORD51</t>
  </si>
  <si>
    <t>2023-11-14</t>
  </si>
  <si>
    <t>ORD52</t>
  </si>
  <si>
    <t>2023-06-22</t>
  </si>
  <si>
    <t>ORD53</t>
  </si>
  <si>
    <t>2023-08-29</t>
  </si>
  <si>
    <t>ORD54</t>
  </si>
  <si>
    <t>2023-04-07</t>
  </si>
  <si>
    <t>ORD55</t>
  </si>
  <si>
    <t>2023-05-12</t>
  </si>
  <si>
    <t>ORD56</t>
  </si>
  <si>
    <t>2023-07-01</t>
  </si>
  <si>
    <t>ORD57</t>
  </si>
  <si>
    <t>2023-02-12</t>
  </si>
  <si>
    <t>ORD58</t>
  </si>
  <si>
    <t>2023-10-03</t>
  </si>
  <si>
    <t>ORD59</t>
  </si>
  <si>
    <t>2023-05-22</t>
  </si>
  <si>
    <t>ORD60</t>
  </si>
  <si>
    <t>2023-04-04</t>
  </si>
  <si>
    <t>ORD61</t>
  </si>
  <si>
    <t>2023-01-06</t>
  </si>
  <si>
    <t>ORD62</t>
  </si>
  <si>
    <t>2023-11-06</t>
  </si>
  <si>
    <t>ORD63</t>
  </si>
  <si>
    <t>2023-06-28</t>
  </si>
  <si>
    <t>ORD64</t>
  </si>
  <si>
    <t>2023-11-16</t>
  </si>
  <si>
    <t>ORD65</t>
  </si>
  <si>
    <t>2023-08-20</t>
  </si>
  <si>
    <t>ORD66</t>
  </si>
  <si>
    <t>2023-07-13</t>
  </si>
  <si>
    <t>ORD67</t>
  </si>
  <si>
    <t>2023-07-16</t>
  </si>
  <si>
    <t>ORD68</t>
  </si>
  <si>
    <t>2023-01-23</t>
  </si>
  <si>
    <t>ORD69</t>
  </si>
  <si>
    <t>2023-11-11</t>
  </si>
  <si>
    <t>ORD70</t>
  </si>
  <si>
    <t>2023-11-05</t>
  </si>
  <si>
    <t>ORD71</t>
  </si>
  <si>
    <t>2023-12-01</t>
  </si>
  <si>
    <t>ORD72</t>
  </si>
  <si>
    <t>2023-05-30</t>
  </si>
  <si>
    <t>ORD73</t>
  </si>
  <si>
    <t>2023-08-31</t>
  </si>
  <si>
    <t>ORD74</t>
  </si>
  <si>
    <t>ORD75</t>
  </si>
  <si>
    <t>2023-05-06</t>
  </si>
  <si>
    <t>ORD76</t>
  </si>
  <si>
    <t>ORD77</t>
  </si>
  <si>
    <t>2023-07-02</t>
  </si>
  <si>
    <t>ORD78</t>
  </si>
  <si>
    <t>2023-02-14</t>
  </si>
  <si>
    <t>ORD79</t>
  </si>
  <si>
    <t>2023-05-19</t>
  </si>
  <si>
    <t>ORD80</t>
  </si>
  <si>
    <t>ORD81</t>
  </si>
  <si>
    <t>2023-12-05</t>
  </si>
  <si>
    <t>ORD82</t>
  </si>
  <si>
    <t>2023-11-07</t>
  </si>
  <si>
    <t>ORD83</t>
  </si>
  <si>
    <t>ORD84</t>
  </si>
  <si>
    <t>2023-09-20</t>
  </si>
  <si>
    <t>ORD85</t>
  </si>
  <si>
    <t>2023-09-08</t>
  </si>
  <si>
    <t>ORD86</t>
  </si>
  <si>
    <t>2023-04-15</t>
  </si>
  <si>
    <t>ORD87</t>
  </si>
  <si>
    <t>2023-09-07</t>
  </si>
  <si>
    <t>ORD88</t>
  </si>
  <si>
    <t>ORD89</t>
  </si>
  <si>
    <t>ORD90</t>
  </si>
  <si>
    <t>ORD91</t>
  </si>
  <si>
    <t>2023-12-17</t>
  </si>
  <si>
    <t>ORD92</t>
  </si>
  <si>
    <t>2023-12-15</t>
  </si>
  <si>
    <t>ORD93</t>
  </si>
  <si>
    <t>2023-12-23</t>
  </si>
  <si>
    <t>ORD94</t>
  </si>
  <si>
    <t>2023-07-05</t>
  </si>
  <si>
    <t>ORD95</t>
  </si>
  <si>
    <t>2023-02-07</t>
  </si>
  <si>
    <t>ORD96</t>
  </si>
  <si>
    <t>ORD97</t>
  </si>
  <si>
    <t>2023-10-29</t>
  </si>
  <si>
    <t>ORD98</t>
  </si>
  <si>
    <t>2023-08-19</t>
  </si>
  <si>
    <t>ORD99</t>
  </si>
  <si>
    <t>2023-03-30</t>
  </si>
  <si>
    <t>ORD100</t>
  </si>
  <si>
    <t>2023-10-31</t>
  </si>
  <si>
    <t>ORD101</t>
  </si>
  <si>
    <t>2023-12-29</t>
  </si>
  <si>
    <t>ORD102</t>
  </si>
  <si>
    <t>ORD103</t>
  </si>
  <si>
    <t>ORD104</t>
  </si>
  <si>
    <t>2023-06-21</t>
  </si>
  <si>
    <t>ORD105</t>
  </si>
  <si>
    <t>2023-11-22</t>
  </si>
  <si>
    <t>ORD106</t>
  </si>
  <si>
    <t>ORD107</t>
  </si>
  <si>
    <t>ORD108</t>
  </si>
  <si>
    <t>2023-04-21</t>
  </si>
  <si>
    <t>ORD109</t>
  </si>
  <si>
    <t>2023-10-26</t>
  </si>
  <si>
    <t>ORD110</t>
  </si>
  <si>
    <t>2023-09-10</t>
  </si>
  <si>
    <t>ORD111</t>
  </si>
  <si>
    <t>2023-01-30</t>
  </si>
  <si>
    <t>ORD112</t>
  </si>
  <si>
    <t>ORD113</t>
  </si>
  <si>
    <t>2023-07-06</t>
  </si>
  <si>
    <t>ORD114</t>
  </si>
  <si>
    <t>2023-09-15</t>
  </si>
  <si>
    <t>ORD115</t>
  </si>
  <si>
    <t>2023-01-10</t>
  </si>
  <si>
    <t>ORD116</t>
  </si>
  <si>
    <t>2023-12-09</t>
  </si>
  <si>
    <t>ORD117</t>
  </si>
  <si>
    <t>2023-01-27</t>
  </si>
  <si>
    <t>ORD118</t>
  </si>
  <si>
    <t>2023-05-18</t>
  </si>
  <si>
    <t>ORD119</t>
  </si>
  <si>
    <t>ORD120</t>
  </si>
  <si>
    <t>2023-07-18</t>
  </si>
  <si>
    <t>ORD121</t>
  </si>
  <si>
    <t>2023-09-13</t>
  </si>
  <si>
    <t>ORD122</t>
  </si>
  <si>
    <t>2023-07-23</t>
  </si>
  <si>
    <t>ORD123</t>
  </si>
  <si>
    <t>2023-10-05</t>
  </si>
  <si>
    <t>ORD124</t>
  </si>
  <si>
    <t>2023-08-16</t>
  </si>
  <si>
    <t>ORD125</t>
  </si>
  <si>
    <t>2023-07-21</t>
  </si>
  <si>
    <t>ORD126</t>
  </si>
  <si>
    <t>2023-06-18</t>
  </si>
  <si>
    <t>ORD127</t>
  </si>
  <si>
    <t>2023-12-11</t>
  </si>
  <si>
    <t>ORD128</t>
  </si>
  <si>
    <t>2023-11-28</t>
  </si>
  <si>
    <t>ORD129</t>
  </si>
  <si>
    <t>ORD130</t>
  </si>
  <si>
    <t>ORD131</t>
  </si>
  <si>
    <t>2023-12-30</t>
  </si>
  <si>
    <t>ORD132</t>
  </si>
  <si>
    <t>2023-09-09</t>
  </si>
  <si>
    <t>ORD133</t>
  </si>
  <si>
    <t>ORD134</t>
  </si>
  <si>
    <t>ORD135</t>
  </si>
  <si>
    <t>2023-04-17</t>
  </si>
  <si>
    <t>ORD136</t>
  </si>
  <si>
    <t>2023-05-03</t>
  </si>
  <si>
    <t>ORD137</t>
  </si>
  <si>
    <t>2023-04-02</t>
  </si>
  <si>
    <t>ORD138</t>
  </si>
  <si>
    <t>2023-01-03</t>
  </si>
  <si>
    <t>ORD139</t>
  </si>
  <si>
    <t>2023-02-15</t>
  </si>
  <si>
    <t>ORD140</t>
  </si>
  <si>
    <t>2023-12-22</t>
  </si>
  <si>
    <t>ORD141</t>
  </si>
  <si>
    <t>2023-04-01</t>
  </si>
  <si>
    <t>ORD142</t>
  </si>
  <si>
    <t>2023-07-08</t>
  </si>
  <si>
    <t>ORD143</t>
  </si>
  <si>
    <t>ORD144</t>
  </si>
  <si>
    <t>2023-08-13</t>
  </si>
  <si>
    <t>ORD145</t>
  </si>
  <si>
    <t>ORD146</t>
  </si>
  <si>
    <t>2023-02-25</t>
  </si>
  <si>
    <t>ORD147</t>
  </si>
  <si>
    <t>2023-03-19</t>
  </si>
  <si>
    <t>ORD148</t>
  </si>
  <si>
    <t>ORD149</t>
  </si>
  <si>
    <t>2023-09-11</t>
  </si>
  <si>
    <t>ORD150</t>
  </si>
  <si>
    <t>2023-10-13</t>
  </si>
  <si>
    <t>ORD151</t>
  </si>
  <si>
    <t>2023-03-25</t>
  </si>
  <si>
    <t>ORD152</t>
  </si>
  <si>
    <t>2023-11-10</t>
  </si>
  <si>
    <t>ORD153</t>
  </si>
  <si>
    <t>2023-07-07</t>
  </si>
  <si>
    <t>ORD154</t>
  </si>
  <si>
    <t>ORD155</t>
  </si>
  <si>
    <t>ORD156</t>
  </si>
  <si>
    <t>2023-10-06</t>
  </si>
  <si>
    <t>ORD157</t>
  </si>
  <si>
    <t>ORD158</t>
  </si>
  <si>
    <t>2023-05-15</t>
  </si>
  <si>
    <t>ORD159</t>
  </si>
  <si>
    <t>ORD160</t>
  </si>
  <si>
    <t>ORD161</t>
  </si>
  <si>
    <t>ORD162</t>
  </si>
  <si>
    <t>ORD163</t>
  </si>
  <si>
    <t>ORD164</t>
  </si>
  <si>
    <t>2023-08-21</t>
  </si>
  <si>
    <t>ORD165</t>
  </si>
  <si>
    <t>2023-02-26</t>
  </si>
  <si>
    <t>ORD166</t>
  </si>
  <si>
    <t>ORD167</t>
  </si>
  <si>
    <t>ORD168</t>
  </si>
  <si>
    <t>2023-03-11</t>
  </si>
  <si>
    <t>ORD169</t>
  </si>
  <si>
    <t>2023-02-02</t>
  </si>
  <si>
    <t>ORD170</t>
  </si>
  <si>
    <t>2023-09-17</t>
  </si>
  <si>
    <t>ORD171</t>
  </si>
  <si>
    <t>2023-01-12</t>
  </si>
  <si>
    <t>ORD172</t>
  </si>
  <si>
    <t>2023-05-07</t>
  </si>
  <si>
    <t>ORD173</t>
  </si>
  <si>
    <t>ORD174</t>
  </si>
  <si>
    <t>2023-04-29</t>
  </si>
  <si>
    <t>ORD175</t>
  </si>
  <si>
    <t>2023-04-05</t>
  </si>
  <si>
    <t>ORD176</t>
  </si>
  <si>
    <t>2023-06-26</t>
  </si>
  <si>
    <t>ORD177</t>
  </si>
  <si>
    <t>2023-06-25</t>
  </si>
  <si>
    <t>ORD178</t>
  </si>
  <si>
    <t>ORD179</t>
  </si>
  <si>
    <t>2023-06-11</t>
  </si>
  <si>
    <t>ORD180</t>
  </si>
  <si>
    <t>2023-12-19</t>
  </si>
  <si>
    <t>ORD181</t>
  </si>
  <si>
    <t>ORD182</t>
  </si>
  <si>
    <t>ORD183</t>
  </si>
  <si>
    <t>2023-08-27</t>
  </si>
  <si>
    <t>ORD184</t>
  </si>
  <si>
    <t>2023-04-11</t>
  </si>
  <si>
    <t>ORD185</t>
  </si>
  <si>
    <t>2023-07-10</t>
  </si>
  <si>
    <t>ORD186</t>
  </si>
  <si>
    <t>2023-09-02</t>
  </si>
  <si>
    <t>ORD187</t>
  </si>
  <si>
    <t>2023-02-27</t>
  </si>
  <si>
    <t>ORD188</t>
  </si>
  <si>
    <t>ORD189</t>
  </si>
  <si>
    <t>2023-05-26</t>
  </si>
  <si>
    <t>ORD190</t>
  </si>
  <si>
    <t>ORD191</t>
  </si>
  <si>
    <t>ORD192</t>
  </si>
  <si>
    <t>ORD193</t>
  </si>
  <si>
    <t>ORD194</t>
  </si>
  <si>
    <t>2024-01-01</t>
  </si>
  <si>
    <t>ORD195</t>
  </si>
  <si>
    <t>2023-10-08</t>
  </si>
  <si>
    <t>ORD196</t>
  </si>
  <si>
    <t>ORD197</t>
  </si>
  <si>
    <t>2023-12-12</t>
  </si>
  <si>
    <t>ORD198</t>
  </si>
  <si>
    <t>ORD199</t>
  </si>
  <si>
    <t>2023-08-25</t>
  </si>
  <si>
    <t>ORD200</t>
  </si>
  <si>
    <t>2023-11-04</t>
  </si>
  <si>
    <t>ORD201</t>
  </si>
  <si>
    <t>2023-09-29</t>
  </si>
  <si>
    <t>ORD202</t>
  </si>
  <si>
    <t>ORD203</t>
  </si>
  <si>
    <t>ORD204</t>
  </si>
  <si>
    <t>ORD205</t>
  </si>
  <si>
    <t>2023-05-01</t>
  </si>
  <si>
    <t>ORD206</t>
  </si>
  <si>
    <t>2023-09-30</t>
  </si>
  <si>
    <t>ORD207</t>
  </si>
  <si>
    <t>2023-05-05</t>
  </si>
  <si>
    <t>ORD208</t>
  </si>
  <si>
    <t>2023-01-25</t>
  </si>
  <si>
    <t>ORD209</t>
  </si>
  <si>
    <t>ORD210</t>
  </si>
  <si>
    <t>2023-07-22</t>
  </si>
  <si>
    <t>ORD211</t>
  </si>
  <si>
    <t>ORD212</t>
  </si>
  <si>
    <t>2023-08-18</t>
  </si>
  <si>
    <t>ORD213</t>
  </si>
  <si>
    <t>ORD214</t>
  </si>
  <si>
    <t>ORD215</t>
  </si>
  <si>
    <t>2023-02-06</t>
  </si>
  <si>
    <t>ORD216</t>
  </si>
  <si>
    <t>2023-10-01</t>
  </si>
  <si>
    <t>ORD217</t>
  </si>
  <si>
    <t>2023-12-21</t>
  </si>
  <si>
    <t>ORD218</t>
  </si>
  <si>
    <t>ORD219</t>
  </si>
  <si>
    <t>ORD220</t>
  </si>
  <si>
    <t>2023-09-04</t>
  </si>
  <si>
    <t>ORD221</t>
  </si>
  <si>
    <t>ORD222</t>
  </si>
  <si>
    <t>2023-11-27</t>
  </si>
  <si>
    <t>ORD223</t>
  </si>
  <si>
    <t>2023-03-26</t>
  </si>
  <si>
    <t>ORD224</t>
  </si>
  <si>
    <t>ORD225</t>
  </si>
  <si>
    <t>2023-07-09</t>
  </si>
  <si>
    <t>ORD226</t>
  </si>
  <si>
    <t>2023-08-28</t>
  </si>
  <si>
    <t>ORD227</t>
  </si>
  <si>
    <t>ORD228</t>
  </si>
  <si>
    <t>2023-06-06</t>
  </si>
  <si>
    <t>ORD229</t>
  </si>
  <si>
    <t>2023-04-10</t>
  </si>
  <si>
    <t>ORD230</t>
  </si>
  <si>
    <t>2023-04-09</t>
  </si>
  <si>
    <t>ORD231</t>
  </si>
  <si>
    <t>2023-10-15</t>
  </si>
  <si>
    <t>ORD232</t>
  </si>
  <si>
    <t>ORD233</t>
  </si>
  <si>
    <t>2023-01-04</t>
  </si>
  <si>
    <t>ORD234</t>
  </si>
  <si>
    <t>2023-05-14</t>
  </si>
  <si>
    <t>ORD235</t>
  </si>
  <si>
    <t>ORD236</t>
  </si>
  <si>
    <t>ORD237</t>
  </si>
  <si>
    <t>ORD238</t>
  </si>
  <si>
    <t>ORD239</t>
  </si>
  <si>
    <t>2023-10-24</t>
  </si>
  <si>
    <t>ORD240</t>
  </si>
  <si>
    <t>2023-03-14</t>
  </si>
  <si>
    <t>ORD241</t>
  </si>
  <si>
    <t>ORD242</t>
  </si>
  <si>
    <t>2023-05-02</t>
  </si>
  <si>
    <t>ORD243</t>
  </si>
  <si>
    <t>2023-02-21</t>
  </si>
  <si>
    <t>ORD244</t>
  </si>
  <si>
    <t>2023-02-28</t>
  </si>
  <si>
    <t>ORD245</t>
  </si>
  <si>
    <t>2023-06-27</t>
  </si>
  <si>
    <t>ORD246</t>
  </si>
  <si>
    <t>2023-03-17</t>
  </si>
  <si>
    <t>ORD247</t>
  </si>
  <si>
    <t>ORD248</t>
  </si>
  <si>
    <t>ORD249</t>
  </si>
  <si>
    <t>2023-11-12</t>
  </si>
  <si>
    <t>ORD250</t>
  </si>
  <si>
    <t>2023-10-09</t>
  </si>
  <si>
    <t>ORD251</t>
  </si>
  <si>
    <t>ORD252</t>
  </si>
  <si>
    <t>2023-06-02</t>
  </si>
  <si>
    <t>ORD253</t>
  </si>
  <si>
    <t>ORD254</t>
  </si>
  <si>
    <t>2023-08-24</t>
  </si>
  <si>
    <t>ORD255</t>
  </si>
  <si>
    <t>ORD256</t>
  </si>
  <si>
    <t>ORD257</t>
  </si>
  <si>
    <t>2023-03-02</t>
  </si>
  <si>
    <t>ORD258</t>
  </si>
  <si>
    <t>2023-10-16</t>
  </si>
  <si>
    <t>ORD259</t>
  </si>
  <si>
    <t>2023-08-11</t>
  </si>
  <si>
    <t>ORD260</t>
  </si>
  <si>
    <t>ORD261</t>
  </si>
  <si>
    <t>ORD262</t>
  </si>
  <si>
    <t>2023-04-22</t>
  </si>
  <si>
    <t>ORD263</t>
  </si>
  <si>
    <t>ORD264</t>
  </si>
  <si>
    <t>2023-01-11</t>
  </si>
  <si>
    <t>ORD265</t>
  </si>
  <si>
    <t>ORD266</t>
  </si>
  <si>
    <t>ORD267</t>
  </si>
  <si>
    <t>ORD268</t>
  </si>
  <si>
    <t>ORD269</t>
  </si>
  <si>
    <t>2023-07-30</t>
  </si>
  <si>
    <t>ORD270</t>
  </si>
  <si>
    <t>2023-05-20</t>
  </si>
  <si>
    <t>ORD271</t>
  </si>
  <si>
    <t>2023-03-08</t>
  </si>
  <si>
    <t>ORD272</t>
  </si>
  <si>
    <t>ORD273</t>
  </si>
  <si>
    <t>2023-04-06</t>
  </si>
  <si>
    <t>ORD274</t>
  </si>
  <si>
    <t>ORD275</t>
  </si>
  <si>
    <t>ORD276</t>
  </si>
  <si>
    <t>2023-01-29</t>
  </si>
  <si>
    <t>ORD277</t>
  </si>
  <si>
    <t>2023-06-24</t>
  </si>
  <si>
    <t>ORD278</t>
  </si>
  <si>
    <t>ORD279</t>
  </si>
  <si>
    <t>2023-08-07</t>
  </si>
  <si>
    <t>ORD280</t>
  </si>
  <si>
    <t>ORD281</t>
  </si>
  <si>
    <t>2023-07-27</t>
  </si>
  <si>
    <t>ORD282</t>
  </si>
  <si>
    <t>2023-08-26</t>
  </si>
  <si>
    <t>ORD283</t>
  </si>
  <si>
    <t>ORD284</t>
  </si>
  <si>
    <t>ORD285</t>
  </si>
  <si>
    <t>2023-08-15</t>
  </si>
  <si>
    <t>ORD286</t>
  </si>
  <si>
    <t>ORD287</t>
  </si>
  <si>
    <t>2023-03-05</t>
  </si>
  <si>
    <t>ORD288</t>
  </si>
  <si>
    <t>ORD289</t>
  </si>
  <si>
    <t>2023-06-15</t>
  </si>
  <si>
    <t>ORD290</t>
  </si>
  <si>
    <t>ORD291</t>
  </si>
  <si>
    <t>ORD292</t>
  </si>
  <si>
    <t>2023-09-16</t>
  </si>
  <si>
    <t>ORD293</t>
  </si>
  <si>
    <t>2023-06-12</t>
  </si>
  <si>
    <t>ORD294</t>
  </si>
  <si>
    <t>2023-11-20</t>
  </si>
  <si>
    <t>ORD295</t>
  </si>
  <si>
    <t>ORD296</t>
  </si>
  <si>
    <t>ORD297</t>
  </si>
  <si>
    <t>2023-11-02</t>
  </si>
  <si>
    <t>ORD298</t>
  </si>
  <si>
    <t>ORD299</t>
  </si>
  <si>
    <t>ORD300</t>
  </si>
  <si>
    <t>ORD301</t>
  </si>
  <si>
    <t>ORD302</t>
  </si>
  <si>
    <t>2023-10-21</t>
  </si>
  <si>
    <t>ORD303</t>
  </si>
  <si>
    <t>ORD304</t>
  </si>
  <si>
    <t>2023-11-17</t>
  </si>
  <si>
    <t>ORD305</t>
  </si>
  <si>
    <t>2023-02-03</t>
  </si>
  <si>
    <t>ORD306</t>
  </si>
  <si>
    <t>2023-12-03</t>
  </si>
  <si>
    <t>ORD307</t>
  </si>
  <si>
    <t>2023-02-22</t>
  </si>
  <si>
    <t>ORD308</t>
  </si>
  <si>
    <t>ORD309</t>
  </si>
  <si>
    <t>2023-04-28</t>
  </si>
  <si>
    <t>ORD310</t>
  </si>
  <si>
    <t>2023-03-20</t>
  </si>
  <si>
    <t>ORD311</t>
  </si>
  <si>
    <t>ORD312</t>
  </si>
  <si>
    <t>2023-10-25</t>
  </si>
  <si>
    <t>ORD313</t>
  </si>
  <si>
    <t>ORD314</t>
  </si>
  <si>
    <t>ORD315</t>
  </si>
  <si>
    <t>2023-06-03</t>
  </si>
  <si>
    <t>ORD316</t>
  </si>
  <si>
    <t>2023-10-20</t>
  </si>
  <si>
    <t>ORD317</t>
  </si>
  <si>
    <t>2023-09-27</t>
  </si>
  <si>
    <t>ORD318</t>
  </si>
  <si>
    <t>ORD319</t>
  </si>
  <si>
    <t>ORD320</t>
  </si>
  <si>
    <t>2023-05-17</t>
  </si>
  <si>
    <t>ORD321</t>
  </si>
  <si>
    <t>ORD322</t>
  </si>
  <si>
    <t>ORD323</t>
  </si>
  <si>
    <t>ORD324</t>
  </si>
  <si>
    <t>2023-11-18</t>
  </si>
  <si>
    <t>ORD325</t>
  </si>
  <si>
    <t>ORD326</t>
  </si>
  <si>
    <t>2023-01-05</t>
  </si>
  <si>
    <t>ORD327</t>
  </si>
  <si>
    <t>ORD328</t>
  </si>
  <si>
    <t>ORD329</t>
  </si>
  <si>
    <t>ORD330</t>
  </si>
  <si>
    <t>ORD331</t>
  </si>
  <si>
    <t>2023-12-25</t>
  </si>
  <si>
    <t>ORD332</t>
  </si>
  <si>
    <t>2023-03-24</t>
  </si>
  <si>
    <t>ORD333</t>
  </si>
  <si>
    <t>ORD334</t>
  </si>
  <si>
    <t>2023-08-14</t>
  </si>
  <si>
    <t>ORD335</t>
  </si>
  <si>
    <t>ORD336</t>
  </si>
  <si>
    <t>2023-06-09</t>
  </si>
  <si>
    <t>ORD337</t>
  </si>
  <si>
    <t>2023-08-05</t>
  </si>
  <si>
    <t>ORD338</t>
  </si>
  <si>
    <t>ORD339</t>
  </si>
  <si>
    <t>ORD340</t>
  </si>
  <si>
    <t>2023-04-24</t>
  </si>
  <si>
    <t>ORD341</t>
  </si>
  <si>
    <t>ORD342</t>
  </si>
  <si>
    <t>ORD343</t>
  </si>
  <si>
    <t>ORD344</t>
  </si>
  <si>
    <t>ORD345</t>
  </si>
  <si>
    <t>2023-08-22</t>
  </si>
  <si>
    <t>ORD346</t>
  </si>
  <si>
    <t>ORD347</t>
  </si>
  <si>
    <t>ORD348</t>
  </si>
  <si>
    <t>ORD349</t>
  </si>
  <si>
    <t>2023-10-12</t>
  </si>
  <si>
    <t>ORD350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</si>
</sst>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B1" sqref="B1"/>
    </sheetView>
  </sheetViews>
  <sheetFormatPr defaultRowHeight="15" x14ac:dyDescent="0.25"/>
  <cols>
    <col min="1" max="1" width="14.7109375" bestFit="1" customWidth="1"/>
    <col min="2" max="2" width="5.7109375" bestFit="1" customWidth="1"/>
    <col min="3" max="3" width="7.7109375" bestFit="1" customWidth="1"/>
    <col min="4" max="4" width="14.42578125" bestFit="1" customWidth="1"/>
    <col min="5" max="5" width="19.85546875" bestFit="1" customWidth="1"/>
    <col min="6" max="6" width="18.5703125" bestFit="1" customWidth="1"/>
    <col min="7" max="7" width="17.28515625" bestFit="1" customWidth="1"/>
    <col min="8" max="8" width="15.140625" bestFit="1" customWidth="1"/>
    <col min="9" max="9" width="13.7109375" bestFit="1" customWidth="1"/>
    <col min="10" max="10" width="13.28515625" bestFit="1" customWidth="1"/>
    <col min="11" max="11" width="2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14</v>
      </c>
      <c r="D2" s="2" t="s">
        <v>16</v>
      </c>
      <c r="E2" s="2" t="s">
        <v>18</v>
      </c>
      <c r="F2" s="2" t="s">
        <v>16</v>
      </c>
      <c r="G2" s="2">
        <v>5</v>
      </c>
      <c r="H2" s="2">
        <v>4</v>
      </c>
      <c r="I2" s="2">
        <v>4</v>
      </c>
      <c r="J2" s="2">
        <v>4</v>
      </c>
      <c r="K2" s="2" t="s">
        <v>21</v>
      </c>
    </row>
    <row r="3" spans="1:11" x14ac:dyDescent="0.25">
      <c r="A3" s="2">
        <v>2</v>
      </c>
      <c r="B3" s="2" t="s">
        <v>12</v>
      </c>
      <c r="C3" s="2" t="s">
        <v>14</v>
      </c>
      <c r="D3" s="2" t="s">
        <v>17</v>
      </c>
      <c r="E3" s="2" t="s">
        <v>19</v>
      </c>
      <c r="F3" s="2" t="s">
        <v>17</v>
      </c>
      <c r="G3" s="2">
        <v>5</v>
      </c>
      <c r="H3" s="2">
        <v>4</v>
      </c>
      <c r="I3" s="2">
        <v>3</v>
      </c>
      <c r="J3" s="2">
        <v>3</v>
      </c>
      <c r="K3" s="2" t="s">
        <v>22</v>
      </c>
    </row>
    <row r="4" spans="1:11" x14ac:dyDescent="0.25">
      <c r="A4" s="2">
        <v>3</v>
      </c>
      <c r="B4" s="2" t="s">
        <v>13</v>
      </c>
      <c r="C4" s="2" t="s">
        <v>15</v>
      </c>
      <c r="D4" s="2" t="s">
        <v>16</v>
      </c>
      <c r="E4" s="2" t="s">
        <v>20</v>
      </c>
      <c r="F4" s="2" t="s">
        <v>16</v>
      </c>
      <c r="G4" s="2">
        <v>4</v>
      </c>
      <c r="H4" s="2">
        <v>3</v>
      </c>
      <c r="I4" s="2">
        <v>4</v>
      </c>
      <c r="J4" s="2">
        <v>4</v>
      </c>
      <c r="K4" s="2" t="s">
        <v>21</v>
      </c>
    </row>
    <row r="5" spans="1:11" x14ac:dyDescent="0.25">
      <c r="A5" s="2">
        <v>4</v>
      </c>
      <c r="B5" s="2" t="s">
        <v>11</v>
      </c>
      <c r="C5" s="2" t="s">
        <v>14</v>
      </c>
      <c r="D5" s="2" t="s">
        <v>17</v>
      </c>
      <c r="E5" s="2" t="s">
        <v>20</v>
      </c>
      <c r="F5" s="2" t="s">
        <v>17</v>
      </c>
      <c r="G5" s="2">
        <v>4</v>
      </c>
      <c r="H5" s="2">
        <v>3</v>
      </c>
      <c r="I5" s="2">
        <v>4</v>
      </c>
      <c r="J5" s="2">
        <v>5</v>
      </c>
      <c r="K5" s="2" t="s">
        <v>22</v>
      </c>
    </row>
    <row r="6" spans="1:11" x14ac:dyDescent="0.25">
      <c r="A6" s="2">
        <v>5</v>
      </c>
      <c r="B6" s="2" t="s">
        <v>13</v>
      </c>
      <c r="C6" s="2" t="s">
        <v>15</v>
      </c>
      <c r="D6" s="2" t="s">
        <v>16</v>
      </c>
      <c r="E6" s="2" t="s">
        <v>20</v>
      </c>
      <c r="F6" s="2" t="s">
        <v>16</v>
      </c>
      <c r="G6" s="2">
        <v>3</v>
      </c>
      <c r="H6" s="2">
        <v>4</v>
      </c>
      <c r="I6" s="2">
        <v>4</v>
      </c>
      <c r="J6" s="2">
        <v>3</v>
      </c>
      <c r="K6" s="2" t="s">
        <v>22</v>
      </c>
    </row>
    <row r="7" spans="1:11" x14ac:dyDescent="0.25">
      <c r="A7" s="2">
        <v>6</v>
      </c>
      <c r="B7" s="2" t="s">
        <v>12</v>
      </c>
      <c r="C7" s="2" t="s">
        <v>14</v>
      </c>
      <c r="D7" s="2" t="s">
        <v>16</v>
      </c>
      <c r="E7" s="2" t="s">
        <v>20</v>
      </c>
      <c r="F7" s="2" t="s">
        <v>16</v>
      </c>
      <c r="G7" s="2">
        <v>5</v>
      </c>
      <c r="H7" s="2">
        <v>3</v>
      </c>
      <c r="I7" s="2">
        <v>3</v>
      </c>
      <c r="J7" s="2">
        <v>4</v>
      </c>
      <c r="K7" s="2" t="s">
        <v>22</v>
      </c>
    </row>
    <row r="8" spans="1:11" x14ac:dyDescent="0.25">
      <c r="A8" s="2">
        <v>7</v>
      </c>
      <c r="B8" s="2" t="s">
        <v>11</v>
      </c>
      <c r="C8" s="2" t="s">
        <v>14</v>
      </c>
      <c r="D8" s="2" t="s">
        <v>16</v>
      </c>
      <c r="E8" s="2" t="s">
        <v>20</v>
      </c>
      <c r="F8" s="2" t="s">
        <v>16</v>
      </c>
      <c r="G8" s="2">
        <v>4</v>
      </c>
      <c r="H8" s="2">
        <v>4</v>
      </c>
      <c r="I8" s="2">
        <v>4</v>
      </c>
      <c r="J8" s="2">
        <v>3</v>
      </c>
      <c r="K8" s="2" t="s">
        <v>21</v>
      </c>
    </row>
    <row r="9" spans="1:11" x14ac:dyDescent="0.25">
      <c r="A9" s="2">
        <v>8</v>
      </c>
      <c r="B9" s="2" t="s">
        <v>11</v>
      </c>
      <c r="C9" s="2" t="s">
        <v>14</v>
      </c>
      <c r="D9" s="2" t="s">
        <v>17</v>
      </c>
      <c r="E9" s="2" t="s">
        <v>20</v>
      </c>
      <c r="F9" s="2" t="s">
        <v>17</v>
      </c>
      <c r="G9" s="2">
        <v>5</v>
      </c>
      <c r="H9" s="2">
        <v>3</v>
      </c>
      <c r="I9" s="2">
        <v>4</v>
      </c>
      <c r="J9" s="2">
        <v>4</v>
      </c>
      <c r="K9" s="2" t="s">
        <v>21</v>
      </c>
    </row>
    <row r="10" spans="1:11" x14ac:dyDescent="0.25">
      <c r="A10" s="2">
        <v>9</v>
      </c>
      <c r="B10" s="2" t="s">
        <v>12</v>
      </c>
      <c r="C10" s="2" t="s">
        <v>14</v>
      </c>
      <c r="D10" s="2" t="s">
        <v>16</v>
      </c>
      <c r="E10" s="2" t="s">
        <v>20</v>
      </c>
      <c r="F10" s="2" t="s">
        <v>16</v>
      </c>
      <c r="G10" s="2">
        <v>4</v>
      </c>
      <c r="H10" s="2">
        <v>5</v>
      </c>
      <c r="I10" s="2">
        <v>3</v>
      </c>
      <c r="J10" s="2">
        <v>3</v>
      </c>
      <c r="K10" s="2" t="s">
        <v>22</v>
      </c>
    </row>
    <row r="11" spans="1:11" x14ac:dyDescent="0.25">
      <c r="A11" s="2">
        <v>10</v>
      </c>
      <c r="B11" s="2" t="s">
        <v>11</v>
      </c>
      <c r="C11" s="2" t="s">
        <v>14</v>
      </c>
      <c r="D11" s="2" t="s">
        <v>17</v>
      </c>
      <c r="E11" s="2" t="s">
        <v>19</v>
      </c>
      <c r="F11" s="2" t="s">
        <v>17</v>
      </c>
      <c r="G11" s="2">
        <v>4</v>
      </c>
      <c r="H11" s="2">
        <v>5</v>
      </c>
      <c r="I11" s="2">
        <v>5</v>
      </c>
      <c r="J11" s="2">
        <v>5</v>
      </c>
      <c r="K11" s="2" t="s">
        <v>21</v>
      </c>
    </row>
    <row r="12" spans="1:11" x14ac:dyDescent="0.25">
      <c r="A12" s="2">
        <v>11</v>
      </c>
      <c r="B12" s="2" t="s">
        <v>13</v>
      </c>
      <c r="C12" s="2" t="s">
        <v>14</v>
      </c>
      <c r="D12" s="2" t="s">
        <v>17</v>
      </c>
      <c r="E12" s="2" t="s">
        <v>18</v>
      </c>
      <c r="F12" s="2" t="s">
        <v>16</v>
      </c>
      <c r="G12" s="2">
        <v>5</v>
      </c>
      <c r="H12" s="2">
        <v>3</v>
      </c>
      <c r="I12" s="2">
        <v>5</v>
      </c>
      <c r="J12" s="2">
        <v>3</v>
      </c>
      <c r="K12" s="2" t="s">
        <v>21</v>
      </c>
    </row>
    <row r="13" spans="1:11" x14ac:dyDescent="0.25">
      <c r="A13" s="2">
        <v>12</v>
      </c>
      <c r="B13" s="2" t="s">
        <v>11</v>
      </c>
      <c r="C13" s="2" t="s">
        <v>14</v>
      </c>
      <c r="D13" s="2" t="s">
        <v>17</v>
      </c>
      <c r="E13" s="2" t="s">
        <v>18</v>
      </c>
      <c r="F13" s="2" t="s">
        <v>17</v>
      </c>
      <c r="G13" s="2">
        <v>5</v>
      </c>
      <c r="H13" s="2">
        <v>5</v>
      </c>
      <c r="I13" s="2">
        <v>5</v>
      </c>
      <c r="J13" s="2">
        <v>4</v>
      </c>
      <c r="K13" s="2" t="s">
        <v>21</v>
      </c>
    </row>
    <row r="14" spans="1:11" x14ac:dyDescent="0.25">
      <c r="A14" s="2">
        <v>13</v>
      </c>
      <c r="B14" s="2" t="s">
        <v>11</v>
      </c>
      <c r="C14" s="2" t="s">
        <v>15</v>
      </c>
      <c r="D14" s="2" t="s">
        <v>17</v>
      </c>
      <c r="E14" s="2" t="s">
        <v>18</v>
      </c>
      <c r="F14" s="2" t="s">
        <v>16</v>
      </c>
      <c r="G14" s="2">
        <v>4</v>
      </c>
      <c r="H14" s="2">
        <v>5</v>
      </c>
      <c r="I14" s="2">
        <v>4</v>
      </c>
      <c r="J14" s="2">
        <v>4</v>
      </c>
      <c r="K14" s="2" t="s">
        <v>22</v>
      </c>
    </row>
    <row r="15" spans="1:11" x14ac:dyDescent="0.25">
      <c r="A15" s="2">
        <v>14</v>
      </c>
      <c r="B15" s="2" t="s">
        <v>13</v>
      </c>
      <c r="C15" s="2" t="s">
        <v>14</v>
      </c>
      <c r="D15" s="2" t="s">
        <v>16</v>
      </c>
      <c r="E15" s="2" t="s">
        <v>20</v>
      </c>
      <c r="F15" s="2" t="s">
        <v>16</v>
      </c>
      <c r="G15" s="2">
        <v>3</v>
      </c>
      <c r="H15" s="2">
        <v>5</v>
      </c>
      <c r="I15" s="2">
        <v>4</v>
      </c>
      <c r="J15" s="2">
        <v>3</v>
      </c>
      <c r="K15" s="2" t="s">
        <v>22</v>
      </c>
    </row>
    <row r="16" spans="1:11" x14ac:dyDescent="0.25">
      <c r="A16" s="2">
        <v>15</v>
      </c>
      <c r="B16" s="2" t="s">
        <v>13</v>
      </c>
      <c r="C16" s="2" t="s">
        <v>15</v>
      </c>
      <c r="D16" s="2" t="s">
        <v>17</v>
      </c>
      <c r="E16" s="2" t="s">
        <v>19</v>
      </c>
      <c r="F16" s="2" t="s">
        <v>17</v>
      </c>
      <c r="G16" s="2">
        <v>4</v>
      </c>
      <c r="H16" s="2">
        <v>3</v>
      </c>
      <c r="I16" s="2">
        <v>5</v>
      </c>
      <c r="J16" s="2">
        <v>3</v>
      </c>
      <c r="K16" s="2" t="s">
        <v>21</v>
      </c>
    </row>
    <row r="17" spans="1:11" x14ac:dyDescent="0.25">
      <c r="A17" s="2">
        <v>16</v>
      </c>
      <c r="B17" s="2" t="s">
        <v>11</v>
      </c>
      <c r="C17" s="2" t="s">
        <v>14</v>
      </c>
      <c r="D17" s="2" t="s">
        <v>17</v>
      </c>
      <c r="E17" s="2" t="s">
        <v>19</v>
      </c>
      <c r="F17" s="2" t="s">
        <v>17</v>
      </c>
      <c r="G17" s="2">
        <v>5</v>
      </c>
      <c r="H17" s="2">
        <v>5</v>
      </c>
      <c r="I17" s="2">
        <v>3</v>
      </c>
      <c r="J17" s="2">
        <v>5</v>
      </c>
      <c r="K17" s="2" t="s">
        <v>22</v>
      </c>
    </row>
    <row r="18" spans="1:11" x14ac:dyDescent="0.25">
      <c r="A18" s="2">
        <v>17</v>
      </c>
      <c r="B18" s="2" t="s">
        <v>13</v>
      </c>
      <c r="C18" s="2" t="s">
        <v>14</v>
      </c>
      <c r="D18" s="2" t="s">
        <v>17</v>
      </c>
      <c r="E18" s="2" t="s">
        <v>19</v>
      </c>
      <c r="F18" s="2" t="s">
        <v>17</v>
      </c>
      <c r="G18" s="2">
        <v>4</v>
      </c>
      <c r="H18" s="2">
        <v>3</v>
      </c>
      <c r="I18" s="2">
        <v>5</v>
      </c>
      <c r="J18" s="2">
        <v>5</v>
      </c>
      <c r="K18" s="2" t="s">
        <v>22</v>
      </c>
    </row>
    <row r="19" spans="1:11" x14ac:dyDescent="0.25">
      <c r="A19" s="2">
        <v>18</v>
      </c>
      <c r="B19" s="2" t="s">
        <v>11</v>
      </c>
      <c r="C19" s="2" t="s">
        <v>14</v>
      </c>
      <c r="D19" s="2" t="s">
        <v>17</v>
      </c>
      <c r="E19" s="2" t="s">
        <v>20</v>
      </c>
      <c r="F19" s="2" t="s">
        <v>17</v>
      </c>
      <c r="G19" s="2">
        <v>5</v>
      </c>
      <c r="H19" s="2">
        <v>5</v>
      </c>
      <c r="I19" s="2">
        <v>5</v>
      </c>
      <c r="J19" s="2">
        <v>3</v>
      </c>
      <c r="K19" s="2" t="s">
        <v>22</v>
      </c>
    </row>
    <row r="20" spans="1:11" x14ac:dyDescent="0.25">
      <c r="A20" s="2">
        <v>19</v>
      </c>
      <c r="B20" s="2" t="s">
        <v>12</v>
      </c>
      <c r="C20" s="2" t="s">
        <v>14</v>
      </c>
      <c r="D20" s="2" t="s">
        <v>17</v>
      </c>
      <c r="E20" s="2" t="s">
        <v>20</v>
      </c>
      <c r="F20" s="2" t="s">
        <v>17</v>
      </c>
      <c r="G20" s="2">
        <v>4</v>
      </c>
      <c r="H20" s="2">
        <v>4</v>
      </c>
      <c r="I20" s="2">
        <v>4</v>
      </c>
      <c r="J20" s="2">
        <v>4</v>
      </c>
      <c r="K20" s="2" t="s">
        <v>22</v>
      </c>
    </row>
    <row r="21" spans="1:11" x14ac:dyDescent="0.25">
      <c r="A21" s="2">
        <v>20</v>
      </c>
      <c r="B21" s="2" t="s">
        <v>11</v>
      </c>
      <c r="C21" s="2" t="s">
        <v>14</v>
      </c>
      <c r="D21" s="2" t="s">
        <v>16</v>
      </c>
      <c r="E21" s="2" t="s">
        <v>19</v>
      </c>
      <c r="F21" s="2" t="s">
        <v>16</v>
      </c>
      <c r="G21" s="2">
        <v>3</v>
      </c>
      <c r="H21" s="2">
        <v>5</v>
      </c>
      <c r="I21" s="2">
        <v>4</v>
      </c>
      <c r="J21" s="2">
        <v>5</v>
      </c>
      <c r="K21" s="2" t="s">
        <v>22</v>
      </c>
    </row>
    <row r="22" spans="1:11" x14ac:dyDescent="0.25">
      <c r="A22" s="2">
        <v>21</v>
      </c>
      <c r="B22" s="2" t="s">
        <v>12</v>
      </c>
      <c r="C22" s="2" t="s">
        <v>14</v>
      </c>
      <c r="D22" s="2" t="s">
        <v>17</v>
      </c>
      <c r="E22" s="2" t="s">
        <v>20</v>
      </c>
      <c r="F22" s="2" t="s">
        <v>17</v>
      </c>
      <c r="G22" s="2">
        <v>3</v>
      </c>
      <c r="H22" s="2">
        <v>4</v>
      </c>
      <c r="I22" s="2">
        <v>3</v>
      </c>
      <c r="J22" s="2">
        <v>5</v>
      </c>
      <c r="K22" s="2" t="s">
        <v>21</v>
      </c>
    </row>
    <row r="23" spans="1:11" x14ac:dyDescent="0.25">
      <c r="A23" s="2">
        <v>22</v>
      </c>
      <c r="B23" s="2" t="s">
        <v>12</v>
      </c>
      <c r="C23" s="2" t="s">
        <v>14</v>
      </c>
      <c r="D23" s="2" t="s">
        <v>16</v>
      </c>
      <c r="E23" s="2" t="s">
        <v>20</v>
      </c>
      <c r="F23" s="2" t="s">
        <v>16</v>
      </c>
      <c r="G23" s="2">
        <v>3</v>
      </c>
      <c r="H23" s="2">
        <v>5</v>
      </c>
      <c r="I23" s="2">
        <v>3</v>
      </c>
      <c r="J23" s="2">
        <v>5</v>
      </c>
      <c r="K23" s="2" t="s">
        <v>22</v>
      </c>
    </row>
    <row r="24" spans="1:11" x14ac:dyDescent="0.25">
      <c r="A24" s="2">
        <v>23</v>
      </c>
      <c r="B24" s="2" t="s">
        <v>11</v>
      </c>
      <c r="C24" s="2" t="s">
        <v>15</v>
      </c>
      <c r="D24" s="2" t="s">
        <v>17</v>
      </c>
      <c r="E24" s="2" t="s">
        <v>20</v>
      </c>
      <c r="F24" s="2" t="s">
        <v>17</v>
      </c>
      <c r="G24" s="2">
        <v>5</v>
      </c>
      <c r="H24" s="2">
        <v>3</v>
      </c>
      <c r="I24" s="2">
        <v>3</v>
      </c>
      <c r="J24" s="2">
        <v>4</v>
      </c>
      <c r="K24" s="2" t="s">
        <v>22</v>
      </c>
    </row>
    <row r="25" spans="1:11" x14ac:dyDescent="0.25">
      <c r="A25" s="2">
        <v>24</v>
      </c>
      <c r="B25" s="2" t="s">
        <v>13</v>
      </c>
      <c r="C25" s="2" t="s">
        <v>14</v>
      </c>
      <c r="D25" s="2" t="s">
        <v>16</v>
      </c>
      <c r="E25" s="2" t="s">
        <v>18</v>
      </c>
      <c r="F25" s="2" t="s">
        <v>16</v>
      </c>
      <c r="G25" s="2">
        <v>3</v>
      </c>
      <c r="H25" s="2">
        <v>4</v>
      </c>
      <c r="I25" s="2">
        <v>5</v>
      </c>
      <c r="J25" s="2">
        <v>3</v>
      </c>
      <c r="K25" s="2" t="s">
        <v>21</v>
      </c>
    </row>
    <row r="26" spans="1:11" x14ac:dyDescent="0.25">
      <c r="A26" s="2">
        <v>25</v>
      </c>
      <c r="B26" s="2" t="s">
        <v>12</v>
      </c>
      <c r="C26" s="2" t="s">
        <v>15</v>
      </c>
      <c r="D26" s="2" t="s">
        <v>17</v>
      </c>
      <c r="E26" s="2" t="s">
        <v>18</v>
      </c>
      <c r="F26" s="2" t="s">
        <v>16</v>
      </c>
      <c r="G26" s="2">
        <v>3</v>
      </c>
      <c r="H26" s="2">
        <v>5</v>
      </c>
      <c r="I26" s="2">
        <v>3</v>
      </c>
      <c r="J26" s="2">
        <v>4</v>
      </c>
      <c r="K26" s="2" t="s">
        <v>22</v>
      </c>
    </row>
    <row r="27" spans="1:11" x14ac:dyDescent="0.25">
      <c r="A27" s="2">
        <v>26</v>
      </c>
      <c r="B27" s="2" t="s">
        <v>12</v>
      </c>
      <c r="C27" s="2" t="s">
        <v>15</v>
      </c>
      <c r="D27" s="2" t="s">
        <v>16</v>
      </c>
      <c r="E27" s="2" t="s">
        <v>19</v>
      </c>
      <c r="F27" s="2" t="s">
        <v>16</v>
      </c>
      <c r="G27" s="2">
        <v>3</v>
      </c>
      <c r="H27" s="2">
        <v>4</v>
      </c>
      <c r="I27" s="2">
        <v>5</v>
      </c>
      <c r="J27" s="2">
        <v>5</v>
      </c>
      <c r="K27" s="2" t="s">
        <v>21</v>
      </c>
    </row>
    <row r="28" spans="1:11" x14ac:dyDescent="0.25">
      <c r="A28" s="2">
        <v>27</v>
      </c>
      <c r="B28" s="2" t="s">
        <v>13</v>
      </c>
      <c r="C28" s="2" t="s">
        <v>15</v>
      </c>
      <c r="D28" s="2" t="s">
        <v>16</v>
      </c>
      <c r="E28" s="2" t="s">
        <v>20</v>
      </c>
      <c r="F28" s="2" t="s">
        <v>16</v>
      </c>
      <c r="G28" s="2">
        <v>3</v>
      </c>
      <c r="H28" s="2">
        <v>3</v>
      </c>
      <c r="I28" s="2">
        <v>4</v>
      </c>
      <c r="J28" s="2">
        <v>4</v>
      </c>
      <c r="K28" s="2" t="s">
        <v>22</v>
      </c>
    </row>
    <row r="29" spans="1:11" x14ac:dyDescent="0.25">
      <c r="A29" s="2">
        <v>28</v>
      </c>
      <c r="B29" s="2" t="s">
        <v>11</v>
      </c>
      <c r="C29" s="2" t="s">
        <v>15</v>
      </c>
      <c r="D29" s="2" t="s">
        <v>17</v>
      </c>
      <c r="E29" s="2" t="s">
        <v>18</v>
      </c>
      <c r="F29" s="2" t="s">
        <v>16</v>
      </c>
      <c r="G29" s="2">
        <v>3</v>
      </c>
      <c r="H29" s="2">
        <v>5</v>
      </c>
      <c r="I29" s="2">
        <v>4</v>
      </c>
      <c r="J29" s="2">
        <v>4</v>
      </c>
      <c r="K29" s="2" t="s">
        <v>22</v>
      </c>
    </row>
    <row r="30" spans="1:11" x14ac:dyDescent="0.25">
      <c r="A30" s="2">
        <v>29</v>
      </c>
      <c r="B30" s="2" t="s">
        <v>11</v>
      </c>
      <c r="C30" s="2" t="s">
        <v>15</v>
      </c>
      <c r="D30" s="2" t="s">
        <v>17</v>
      </c>
      <c r="E30" s="2" t="s">
        <v>18</v>
      </c>
      <c r="F30" s="2" t="s">
        <v>17</v>
      </c>
      <c r="G30" s="2">
        <v>3</v>
      </c>
      <c r="H30" s="2">
        <v>3</v>
      </c>
      <c r="I30" s="2">
        <v>4</v>
      </c>
      <c r="J30" s="2">
        <v>4</v>
      </c>
      <c r="K30" s="2" t="s">
        <v>21</v>
      </c>
    </row>
    <row r="31" spans="1:11" x14ac:dyDescent="0.25">
      <c r="A31" s="2">
        <v>30</v>
      </c>
      <c r="B31" s="2" t="s">
        <v>13</v>
      </c>
      <c r="C31" s="2" t="s">
        <v>15</v>
      </c>
      <c r="D31" s="2" t="s">
        <v>17</v>
      </c>
      <c r="E31" s="2" t="s">
        <v>18</v>
      </c>
      <c r="F31" s="2" t="s">
        <v>17</v>
      </c>
      <c r="G31" s="2">
        <v>3</v>
      </c>
      <c r="H31" s="2">
        <v>3</v>
      </c>
      <c r="I31" s="2">
        <v>5</v>
      </c>
      <c r="J31" s="2">
        <v>5</v>
      </c>
      <c r="K31" s="2" t="s">
        <v>22</v>
      </c>
    </row>
    <row r="32" spans="1:11" x14ac:dyDescent="0.25">
      <c r="A32" s="2">
        <v>31</v>
      </c>
      <c r="B32" s="2" t="s">
        <v>12</v>
      </c>
      <c r="C32" s="2" t="s">
        <v>14</v>
      </c>
      <c r="D32" s="2" t="s">
        <v>17</v>
      </c>
      <c r="E32" s="2" t="s">
        <v>20</v>
      </c>
      <c r="F32" s="2" t="s">
        <v>17</v>
      </c>
      <c r="G32" s="2">
        <v>4</v>
      </c>
      <c r="H32" s="2">
        <v>5</v>
      </c>
      <c r="I32" s="2">
        <v>3</v>
      </c>
      <c r="J32" s="2">
        <v>5</v>
      </c>
      <c r="K32" s="2" t="s">
        <v>21</v>
      </c>
    </row>
    <row r="33" spans="1:11" x14ac:dyDescent="0.25">
      <c r="A33" s="2">
        <v>32</v>
      </c>
      <c r="B33" s="2" t="s">
        <v>13</v>
      </c>
      <c r="C33" s="2" t="s">
        <v>14</v>
      </c>
      <c r="D33" s="2" t="s">
        <v>16</v>
      </c>
      <c r="E33" s="2" t="s">
        <v>20</v>
      </c>
      <c r="F33" s="2" t="s">
        <v>16</v>
      </c>
      <c r="G33" s="2">
        <v>5</v>
      </c>
      <c r="H33" s="2">
        <v>4</v>
      </c>
      <c r="I33" s="2">
        <v>4</v>
      </c>
      <c r="J33" s="2">
        <v>5</v>
      </c>
      <c r="K33" s="2" t="s">
        <v>22</v>
      </c>
    </row>
    <row r="34" spans="1:11" x14ac:dyDescent="0.25">
      <c r="A34" s="2">
        <v>33</v>
      </c>
      <c r="B34" s="2" t="s">
        <v>11</v>
      </c>
      <c r="C34" s="2" t="s">
        <v>14</v>
      </c>
      <c r="D34" s="2" t="s">
        <v>17</v>
      </c>
      <c r="E34" s="2" t="s">
        <v>18</v>
      </c>
      <c r="F34" s="2" t="s">
        <v>17</v>
      </c>
      <c r="G34" s="2">
        <v>4</v>
      </c>
      <c r="H34" s="2">
        <v>5</v>
      </c>
      <c r="I34" s="2">
        <v>3</v>
      </c>
      <c r="J34" s="2">
        <v>5</v>
      </c>
      <c r="K34" s="2" t="s">
        <v>21</v>
      </c>
    </row>
    <row r="35" spans="1:11" x14ac:dyDescent="0.25">
      <c r="A35" s="2">
        <v>34</v>
      </c>
      <c r="B35" s="2" t="s">
        <v>12</v>
      </c>
      <c r="C35" s="2" t="s">
        <v>14</v>
      </c>
      <c r="D35" s="2" t="s">
        <v>17</v>
      </c>
      <c r="E35" s="2" t="s">
        <v>19</v>
      </c>
      <c r="F35" s="2" t="s">
        <v>17</v>
      </c>
      <c r="G35" s="2">
        <v>5</v>
      </c>
      <c r="H35" s="2">
        <v>3</v>
      </c>
      <c r="I35" s="2">
        <v>3</v>
      </c>
      <c r="J35" s="2">
        <v>4</v>
      </c>
      <c r="K35" s="2" t="s">
        <v>21</v>
      </c>
    </row>
    <row r="36" spans="1:11" x14ac:dyDescent="0.25">
      <c r="A36" s="2">
        <v>35</v>
      </c>
      <c r="B36" s="2" t="s">
        <v>11</v>
      </c>
      <c r="C36" s="2" t="s">
        <v>14</v>
      </c>
      <c r="D36" s="2" t="s">
        <v>16</v>
      </c>
      <c r="E36" s="2" t="s">
        <v>20</v>
      </c>
      <c r="F36" s="2" t="s">
        <v>16</v>
      </c>
      <c r="G36" s="2">
        <v>4</v>
      </c>
      <c r="H36" s="2">
        <v>3</v>
      </c>
      <c r="I36" s="2">
        <v>4</v>
      </c>
      <c r="J36" s="2">
        <v>3</v>
      </c>
      <c r="K36" s="2" t="s">
        <v>21</v>
      </c>
    </row>
    <row r="37" spans="1:11" x14ac:dyDescent="0.25">
      <c r="A37" s="2">
        <v>36</v>
      </c>
      <c r="B37" s="2" t="s">
        <v>12</v>
      </c>
      <c r="C37" s="2" t="s">
        <v>14</v>
      </c>
      <c r="D37" s="2" t="s">
        <v>17</v>
      </c>
      <c r="E37" s="2" t="s">
        <v>19</v>
      </c>
      <c r="F37" s="2" t="s">
        <v>17</v>
      </c>
      <c r="G37" s="2">
        <v>3</v>
      </c>
      <c r="H37" s="2">
        <v>4</v>
      </c>
      <c r="I37" s="2">
        <v>3</v>
      </c>
      <c r="J37" s="2">
        <v>3</v>
      </c>
      <c r="K37" s="2" t="s">
        <v>22</v>
      </c>
    </row>
    <row r="38" spans="1:11" x14ac:dyDescent="0.25">
      <c r="A38" s="2">
        <v>37</v>
      </c>
      <c r="B38" s="2" t="s">
        <v>11</v>
      </c>
      <c r="C38" s="2" t="s">
        <v>14</v>
      </c>
      <c r="D38" s="2" t="s">
        <v>17</v>
      </c>
      <c r="E38" s="2" t="s">
        <v>18</v>
      </c>
      <c r="F38" s="2" t="s">
        <v>17</v>
      </c>
      <c r="G38" s="2">
        <v>3</v>
      </c>
      <c r="H38" s="2">
        <v>3</v>
      </c>
      <c r="I38" s="2">
        <v>4</v>
      </c>
      <c r="J38" s="2">
        <v>5</v>
      </c>
      <c r="K38" s="2" t="s">
        <v>21</v>
      </c>
    </row>
    <row r="39" spans="1:11" x14ac:dyDescent="0.25">
      <c r="A39" s="2">
        <v>38</v>
      </c>
      <c r="B39" s="2" t="s">
        <v>13</v>
      </c>
      <c r="C39" s="2" t="s">
        <v>15</v>
      </c>
      <c r="D39" s="2" t="s">
        <v>17</v>
      </c>
      <c r="E39" s="2" t="s">
        <v>19</v>
      </c>
      <c r="F39" s="2" t="s">
        <v>17</v>
      </c>
      <c r="G39" s="2">
        <v>4</v>
      </c>
      <c r="H39" s="2">
        <v>5</v>
      </c>
      <c r="I39" s="2">
        <v>3</v>
      </c>
      <c r="J39" s="2">
        <v>5</v>
      </c>
      <c r="K39" s="2" t="s">
        <v>22</v>
      </c>
    </row>
    <row r="40" spans="1:11" x14ac:dyDescent="0.25">
      <c r="A40" s="2">
        <v>39</v>
      </c>
      <c r="B40" s="2" t="s">
        <v>12</v>
      </c>
      <c r="C40" s="2" t="s">
        <v>14</v>
      </c>
      <c r="D40" s="2" t="s">
        <v>17</v>
      </c>
      <c r="E40" s="2" t="s">
        <v>18</v>
      </c>
      <c r="F40" s="2" t="s">
        <v>17</v>
      </c>
      <c r="G40" s="2">
        <v>5</v>
      </c>
      <c r="H40" s="2">
        <v>4</v>
      </c>
      <c r="I40" s="2">
        <v>5</v>
      </c>
      <c r="J40" s="2">
        <v>5</v>
      </c>
      <c r="K40" s="2" t="s">
        <v>21</v>
      </c>
    </row>
    <row r="41" spans="1:11" x14ac:dyDescent="0.25">
      <c r="A41" s="2">
        <v>40</v>
      </c>
      <c r="B41" s="2" t="s">
        <v>11</v>
      </c>
      <c r="C41" s="2" t="s">
        <v>15</v>
      </c>
      <c r="D41" s="2" t="s">
        <v>17</v>
      </c>
      <c r="E41" s="2" t="s">
        <v>20</v>
      </c>
      <c r="F41" s="2" t="s">
        <v>17</v>
      </c>
      <c r="G41" s="2">
        <v>4</v>
      </c>
      <c r="H41" s="2">
        <v>3</v>
      </c>
      <c r="I41" s="2">
        <v>4</v>
      </c>
      <c r="J41" s="2">
        <v>4</v>
      </c>
      <c r="K41" s="2" t="s">
        <v>22</v>
      </c>
    </row>
    <row r="42" spans="1:11" x14ac:dyDescent="0.25">
      <c r="A42" s="2">
        <v>41</v>
      </c>
      <c r="B42" s="2" t="s">
        <v>12</v>
      </c>
      <c r="C42" s="2" t="s">
        <v>14</v>
      </c>
      <c r="D42" s="2" t="s">
        <v>17</v>
      </c>
      <c r="E42" s="2" t="s">
        <v>18</v>
      </c>
      <c r="F42" s="2" t="s">
        <v>17</v>
      </c>
      <c r="G42" s="2">
        <v>3</v>
      </c>
      <c r="H42" s="2">
        <v>5</v>
      </c>
      <c r="I42" s="2">
        <v>4</v>
      </c>
      <c r="J42" s="2">
        <v>3</v>
      </c>
      <c r="K42" s="2" t="s">
        <v>22</v>
      </c>
    </row>
    <row r="43" spans="1:11" x14ac:dyDescent="0.25">
      <c r="A43" s="2">
        <v>42</v>
      </c>
      <c r="B43" s="2" t="s">
        <v>13</v>
      </c>
      <c r="C43" s="2" t="s">
        <v>14</v>
      </c>
      <c r="D43" s="2" t="s">
        <v>16</v>
      </c>
      <c r="E43" s="2" t="s">
        <v>20</v>
      </c>
      <c r="F43" s="2" t="s">
        <v>16</v>
      </c>
      <c r="G43" s="2">
        <v>4</v>
      </c>
      <c r="H43" s="2">
        <v>4</v>
      </c>
      <c r="I43" s="2">
        <v>4</v>
      </c>
      <c r="J43" s="2">
        <v>3</v>
      </c>
      <c r="K43" s="2" t="s">
        <v>22</v>
      </c>
    </row>
    <row r="44" spans="1:11" x14ac:dyDescent="0.25">
      <c r="A44" s="2">
        <v>43</v>
      </c>
      <c r="B44" s="2" t="s">
        <v>13</v>
      </c>
      <c r="C44" s="2" t="s">
        <v>14</v>
      </c>
      <c r="D44" s="2" t="s">
        <v>16</v>
      </c>
      <c r="E44" s="2" t="s">
        <v>19</v>
      </c>
      <c r="F44" s="2" t="s">
        <v>16</v>
      </c>
      <c r="G44" s="2">
        <v>3</v>
      </c>
      <c r="H44" s="2">
        <v>4</v>
      </c>
      <c r="I44" s="2">
        <v>4</v>
      </c>
      <c r="J44" s="2">
        <v>5</v>
      </c>
      <c r="K44" s="2" t="s">
        <v>22</v>
      </c>
    </row>
    <row r="45" spans="1:11" x14ac:dyDescent="0.25">
      <c r="A45" s="2">
        <v>44</v>
      </c>
      <c r="B45" s="2" t="s">
        <v>13</v>
      </c>
      <c r="C45" s="2" t="s">
        <v>15</v>
      </c>
      <c r="D45" s="2" t="s">
        <v>17</v>
      </c>
      <c r="E45" s="2" t="s">
        <v>18</v>
      </c>
      <c r="F45" s="2" t="s">
        <v>17</v>
      </c>
      <c r="G45" s="2">
        <v>5</v>
      </c>
      <c r="H45" s="2">
        <v>3</v>
      </c>
      <c r="I45" s="2">
        <v>5</v>
      </c>
      <c r="J45" s="2">
        <v>4</v>
      </c>
      <c r="K45" s="2" t="s">
        <v>22</v>
      </c>
    </row>
    <row r="46" spans="1:11" x14ac:dyDescent="0.25">
      <c r="A46" s="2">
        <v>45</v>
      </c>
      <c r="B46" s="2" t="s">
        <v>13</v>
      </c>
      <c r="C46" s="2" t="s">
        <v>15</v>
      </c>
      <c r="D46" s="2" t="s">
        <v>17</v>
      </c>
      <c r="E46" s="2" t="s">
        <v>18</v>
      </c>
      <c r="F46" s="2" t="s">
        <v>17</v>
      </c>
      <c r="G46" s="2">
        <v>3</v>
      </c>
      <c r="H46" s="2">
        <v>5</v>
      </c>
      <c r="I46" s="2">
        <v>3</v>
      </c>
      <c r="J46" s="2">
        <v>3</v>
      </c>
      <c r="K46" s="2" t="s">
        <v>21</v>
      </c>
    </row>
    <row r="47" spans="1:11" x14ac:dyDescent="0.25">
      <c r="A47" s="2">
        <v>46</v>
      </c>
      <c r="B47" s="2" t="s">
        <v>11</v>
      </c>
      <c r="C47" s="2" t="s">
        <v>15</v>
      </c>
      <c r="D47" s="2" t="s">
        <v>16</v>
      </c>
      <c r="E47" s="2" t="s">
        <v>19</v>
      </c>
      <c r="F47" s="2" t="s">
        <v>16</v>
      </c>
      <c r="G47" s="2">
        <v>4</v>
      </c>
      <c r="H47" s="2">
        <v>3</v>
      </c>
      <c r="I47" s="2">
        <v>3</v>
      </c>
      <c r="J47" s="2">
        <v>5</v>
      </c>
      <c r="K47" s="2" t="s">
        <v>22</v>
      </c>
    </row>
    <row r="48" spans="1:11" x14ac:dyDescent="0.25">
      <c r="A48" s="2">
        <v>47</v>
      </c>
      <c r="B48" s="2" t="s">
        <v>13</v>
      </c>
      <c r="C48" s="2" t="s">
        <v>14</v>
      </c>
      <c r="D48" s="2" t="s">
        <v>17</v>
      </c>
      <c r="E48" s="2" t="s">
        <v>19</v>
      </c>
      <c r="F48" s="2" t="s">
        <v>17</v>
      </c>
      <c r="G48" s="2">
        <v>5</v>
      </c>
      <c r="H48" s="2">
        <v>5</v>
      </c>
      <c r="I48" s="2">
        <v>5</v>
      </c>
      <c r="J48" s="2">
        <v>4</v>
      </c>
      <c r="K48" s="2" t="s">
        <v>21</v>
      </c>
    </row>
    <row r="49" spans="1:11" x14ac:dyDescent="0.25">
      <c r="A49" s="2">
        <v>48</v>
      </c>
      <c r="B49" s="2" t="s">
        <v>11</v>
      </c>
      <c r="C49" s="2" t="s">
        <v>15</v>
      </c>
      <c r="D49" s="2" t="s">
        <v>17</v>
      </c>
      <c r="E49" s="2" t="s">
        <v>20</v>
      </c>
      <c r="F49" s="2" t="s">
        <v>17</v>
      </c>
      <c r="G49" s="2">
        <v>4</v>
      </c>
      <c r="H49" s="2">
        <v>5</v>
      </c>
      <c r="I49" s="2">
        <v>3</v>
      </c>
      <c r="J49" s="2">
        <v>3</v>
      </c>
      <c r="K49" s="2" t="s">
        <v>21</v>
      </c>
    </row>
    <row r="50" spans="1:11" x14ac:dyDescent="0.25">
      <c r="A50" s="2">
        <v>49</v>
      </c>
      <c r="B50" s="2" t="s">
        <v>12</v>
      </c>
      <c r="C50" s="2" t="s">
        <v>15</v>
      </c>
      <c r="D50" s="2" t="s">
        <v>17</v>
      </c>
      <c r="E50" s="2" t="s">
        <v>18</v>
      </c>
      <c r="F50" s="2" t="s">
        <v>17</v>
      </c>
      <c r="G50" s="2">
        <v>5</v>
      </c>
      <c r="H50" s="2">
        <v>5</v>
      </c>
      <c r="I50" s="2">
        <v>3</v>
      </c>
      <c r="J50" s="2">
        <v>5</v>
      </c>
      <c r="K50" s="2" t="s">
        <v>22</v>
      </c>
    </row>
    <row r="51" spans="1:11" x14ac:dyDescent="0.25">
      <c r="A51" s="2">
        <v>50</v>
      </c>
      <c r="B51" s="2" t="s">
        <v>13</v>
      </c>
      <c r="C51" s="2" t="s">
        <v>14</v>
      </c>
      <c r="D51" s="2" t="s">
        <v>16</v>
      </c>
      <c r="E51" s="2" t="s">
        <v>19</v>
      </c>
      <c r="F51" s="2" t="s">
        <v>17</v>
      </c>
      <c r="G51" s="2">
        <v>3</v>
      </c>
      <c r="H51" s="2">
        <v>5</v>
      </c>
      <c r="I51" s="2">
        <v>5</v>
      </c>
      <c r="J51" s="2">
        <v>3</v>
      </c>
      <c r="K51" s="2" t="s">
        <v>22</v>
      </c>
    </row>
    <row r="52" spans="1:11" x14ac:dyDescent="0.25">
      <c r="A52" s="2">
        <v>51</v>
      </c>
      <c r="B52" s="2" t="s">
        <v>11</v>
      </c>
      <c r="C52" s="2" t="s">
        <v>14</v>
      </c>
      <c r="D52" s="2" t="s">
        <v>17</v>
      </c>
      <c r="E52" s="2" t="s">
        <v>18</v>
      </c>
      <c r="F52" s="2" t="s">
        <v>17</v>
      </c>
      <c r="G52" s="2">
        <v>5</v>
      </c>
      <c r="H52" s="2">
        <v>5</v>
      </c>
      <c r="I52" s="2">
        <v>5</v>
      </c>
      <c r="J52" s="2">
        <v>3</v>
      </c>
      <c r="K52" s="2" t="s">
        <v>22</v>
      </c>
    </row>
    <row r="53" spans="1:11" x14ac:dyDescent="0.25">
      <c r="A53" s="2">
        <v>52</v>
      </c>
      <c r="B53" s="2" t="s">
        <v>12</v>
      </c>
      <c r="C53" s="2" t="s">
        <v>14</v>
      </c>
      <c r="D53" s="2" t="s">
        <v>17</v>
      </c>
      <c r="E53" s="2" t="s">
        <v>20</v>
      </c>
      <c r="F53" s="2" t="s">
        <v>17</v>
      </c>
      <c r="G53" s="2">
        <v>5</v>
      </c>
      <c r="H53" s="2">
        <v>4</v>
      </c>
      <c r="I53" s="2">
        <v>3</v>
      </c>
      <c r="J53" s="2">
        <v>5</v>
      </c>
      <c r="K53" s="2" t="s">
        <v>22</v>
      </c>
    </row>
    <row r="54" spans="1:11" x14ac:dyDescent="0.25">
      <c r="A54" s="2">
        <v>53</v>
      </c>
      <c r="B54" s="2" t="s">
        <v>11</v>
      </c>
      <c r="C54" s="2" t="s">
        <v>14</v>
      </c>
      <c r="D54" s="2" t="s">
        <v>16</v>
      </c>
      <c r="E54" s="2" t="s">
        <v>20</v>
      </c>
      <c r="F54" s="2" t="s">
        <v>16</v>
      </c>
      <c r="G54" s="2">
        <v>3</v>
      </c>
      <c r="H54" s="2">
        <v>4</v>
      </c>
      <c r="I54" s="2">
        <v>5</v>
      </c>
      <c r="J54" s="2">
        <v>4</v>
      </c>
      <c r="K54" s="2" t="s">
        <v>22</v>
      </c>
    </row>
    <row r="55" spans="1:11" x14ac:dyDescent="0.25">
      <c r="A55" s="2">
        <v>54</v>
      </c>
      <c r="B55" s="2" t="s">
        <v>11</v>
      </c>
      <c r="C55" s="2" t="s">
        <v>14</v>
      </c>
      <c r="D55" s="2" t="s">
        <v>17</v>
      </c>
      <c r="E55" s="2" t="s">
        <v>18</v>
      </c>
      <c r="F55" s="2" t="s">
        <v>17</v>
      </c>
      <c r="G55" s="2">
        <v>3</v>
      </c>
      <c r="H55" s="2">
        <v>3</v>
      </c>
      <c r="I55" s="2">
        <v>3</v>
      </c>
      <c r="J55" s="2">
        <v>4</v>
      </c>
      <c r="K55" s="2" t="s">
        <v>22</v>
      </c>
    </row>
    <row r="56" spans="1:11" x14ac:dyDescent="0.25">
      <c r="A56" s="2">
        <v>55</v>
      </c>
      <c r="B56" s="2" t="s">
        <v>11</v>
      </c>
      <c r="C56" s="2" t="s">
        <v>15</v>
      </c>
      <c r="D56" s="2" t="s">
        <v>16</v>
      </c>
      <c r="E56" s="2" t="s">
        <v>19</v>
      </c>
      <c r="F56" s="2" t="s">
        <v>16</v>
      </c>
      <c r="G56" s="2">
        <v>5</v>
      </c>
      <c r="H56" s="2">
        <v>4</v>
      </c>
      <c r="I56" s="2">
        <v>3</v>
      </c>
      <c r="J56" s="2">
        <v>3</v>
      </c>
      <c r="K56" s="2" t="s">
        <v>22</v>
      </c>
    </row>
    <row r="57" spans="1:11" x14ac:dyDescent="0.25">
      <c r="A57" s="2">
        <v>56</v>
      </c>
      <c r="B57" s="2" t="s">
        <v>12</v>
      </c>
      <c r="C57" s="2" t="s">
        <v>14</v>
      </c>
      <c r="D57" s="2" t="s">
        <v>16</v>
      </c>
      <c r="E57" s="2" t="s">
        <v>19</v>
      </c>
      <c r="F57" s="2" t="s">
        <v>16</v>
      </c>
      <c r="G57" s="2">
        <v>3</v>
      </c>
      <c r="H57" s="2">
        <v>5</v>
      </c>
      <c r="I57" s="2">
        <v>5</v>
      </c>
      <c r="J57" s="2">
        <v>5</v>
      </c>
      <c r="K57" s="2" t="s">
        <v>21</v>
      </c>
    </row>
    <row r="58" spans="1:11" x14ac:dyDescent="0.25">
      <c r="A58" s="2">
        <v>57</v>
      </c>
      <c r="B58" s="2" t="s">
        <v>13</v>
      </c>
      <c r="C58" s="2" t="s">
        <v>15</v>
      </c>
      <c r="D58" s="2" t="s">
        <v>17</v>
      </c>
      <c r="E58" s="2" t="s">
        <v>19</v>
      </c>
      <c r="F58" s="2" t="s">
        <v>17</v>
      </c>
      <c r="G58" s="2">
        <v>3</v>
      </c>
      <c r="H58" s="2">
        <v>3</v>
      </c>
      <c r="I58" s="2">
        <v>3</v>
      </c>
      <c r="J58" s="2">
        <v>4</v>
      </c>
      <c r="K58" s="2" t="s">
        <v>22</v>
      </c>
    </row>
    <row r="59" spans="1:11" x14ac:dyDescent="0.25">
      <c r="A59" s="2">
        <v>58</v>
      </c>
      <c r="B59" s="2" t="s">
        <v>13</v>
      </c>
      <c r="C59" s="2" t="s">
        <v>14</v>
      </c>
      <c r="D59" s="2" t="s">
        <v>17</v>
      </c>
      <c r="E59" s="2" t="s">
        <v>18</v>
      </c>
      <c r="F59" s="2" t="s">
        <v>16</v>
      </c>
      <c r="G59" s="2">
        <v>4</v>
      </c>
      <c r="H59" s="2">
        <v>3</v>
      </c>
      <c r="I59" s="2">
        <v>5</v>
      </c>
      <c r="J59" s="2">
        <v>5</v>
      </c>
      <c r="K59" s="2" t="s">
        <v>22</v>
      </c>
    </row>
    <row r="60" spans="1:11" x14ac:dyDescent="0.25">
      <c r="A60" s="2">
        <v>59</v>
      </c>
      <c r="B60" s="2" t="s">
        <v>13</v>
      </c>
      <c r="C60" s="2" t="s">
        <v>15</v>
      </c>
      <c r="D60" s="2" t="s">
        <v>17</v>
      </c>
      <c r="E60" s="2" t="s">
        <v>18</v>
      </c>
      <c r="F60" s="2" t="s">
        <v>17</v>
      </c>
      <c r="G60" s="2">
        <v>4</v>
      </c>
      <c r="H60" s="2">
        <v>3</v>
      </c>
      <c r="I60" s="2">
        <v>3</v>
      </c>
      <c r="J60" s="2">
        <v>3</v>
      </c>
      <c r="K60" s="2" t="s">
        <v>22</v>
      </c>
    </row>
    <row r="61" spans="1:11" x14ac:dyDescent="0.25">
      <c r="A61" s="2">
        <v>60</v>
      </c>
      <c r="B61" s="2" t="s">
        <v>11</v>
      </c>
      <c r="C61" s="2" t="s">
        <v>14</v>
      </c>
      <c r="D61" s="2" t="s">
        <v>17</v>
      </c>
      <c r="E61" s="2" t="s">
        <v>19</v>
      </c>
      <c r="F61" s="2" t="s">
        <v>17</v>
      </c>
      <c r="G61" s="2">
        <v>4</v>
      </c>
      <c r="H61" s="2">
        <v>3</v>
      </c>
      <c r="I61" s="2">
        <v>5</v>
      </c>
      <c r="J61" s="2">
        <v>4</v>
      </c>
      <c r="K61" s="2" t="s">
        <v>21</v>
      </c>
    </row>
    <row r="62" spans="1:11" x14ac:dyDescent="0.25">
      <c r="A62" s="2">
        <v>61</v>
      </c>
      <c r="B62" s="2" t="s">
        <v>11</v>
      </c>
      <c r="C62" s="2" t="s">
        <v>15</v>
      </c>
      <c r="D62" s="2" t="s">
        <v>17</v>
      </c>
      <c r="E62" s="2" t="s">
        <v>20</v>
      </c>
      <c r="F62" s="2" t="s">
        <v>17</v>
      </c>
      <c r="G62" s="2">
        <v>4</v>
      </c>
      <c r="H62" s="2">
        <v>5</v>
      </c>
      <c r="I62" s="2">
        <v>5</v>
      </c>
      <c r="J62" s="2">
        <v>3</v>
      </c>
      <c r="K62" s="2" t="s">
        <v>22</v>
      </c>
    </row>
    <row r="63" spans="1:11" x14ac:dyDescent="0.25">
      <c r="A63" s="2">
        <v>62</v>
      </c>
      <c r="B63" s="2" t="s">
        <v>12</v>
      </c>
      <c r="C63" s="2" t="s">
        <v>15</v>
      </c>
      <c r="D63" s="2" t="s">
        <v>16</v>
      </c>
      <c r="E63" s="2" t="s">
        <v>20</v>
      </c>
      <c r="F63" s="2" t="s">
        <v>16</v>
      </c>
      <c r="G63" s="2">
        <v>3</v>
      </c>
      <c r="H63" s="2">
        <v>3</v>
      </c>
      <c r="I63" s="2">
        <v>4</v>
      </c>
      <c r="J63" s="2">
        <v>4</v>
      </c>
      <c r="K63" s="2" t="s">
        <v>22</v>
      </c>
    </row>
    <row r="64" spans="1:11" x14ac:dyDescent="0.25">
      <c r="A64" s="2">
        <v>63</v>
      </c>
      <c r="B64" s="2" t="s">
        <v>13</v>
      </c>
      <c r="C64" s="2" t="s">
        <v>15</v>
      </c>
      <c r="D64" s="2" t="s">
        <v>17</v>
      </c>
      <c r="E64" s="2" t="s">
        <v>18</v>
      </c>
      <c r="F64" s="2" t="s">
        <v>17</v>
      </c>
      <c r="G64" s="2">
        <v>4</v>
      </c>
      <c r="H64" s="2">
        <v>4</v>
      </c>
      <c r="I64" s="2">
        <v>3</v>
      </c>
      <c r="J64" s="2">
        <v>3</v>
      </c>
      <c r="K64" s="2" t="s">
        <v>21</v>
      </c>
    </row>
    <row r="65" spans="1:11" x14ac:dyDescent="0.25">
      <c r="A65" s="2">
        <v>64</v>
      </c>
      <c r="B65" s="2" t="s">
        <v>11</v>
      </c>
      <c r="C65" s="2" t="s">
        <v>15</v>
      </c>
      <c r="D65" s="2" t="s">
        <v>17</v>
      </c>
      <c r="E65" s="2" t="s">
        <v>19</v>
      </c>
      <c r="F65" s="2" t="s">
        <v>17</v>
      </c>
      <c r="G65" s="2">
        <v>4</v>
      </c>
      <c r="H65" s="2">
        <v>5</v>
      </c>
      <c r="I65" s="2">
        <v>5</v>
      </c>
      <c r="J65" s="2">
        <v>4</v>
      </c>
      <c r="K65" s="2" t="s">
        <v>21</v>
      </c>
    </row>
    <row r="66" spans="1:11" x14ac:dyDescent="0.25">
      <c r="A66" s="2">
        <v>65</v>
      </c>
      <c r="B66" s="2" t="s">
        <v>12</v>
      </c>
      <c r="C66" s="2" t="s">
        <v>15</v>
      </c>
      <c r="D66" s="2" t="s">
        <v>16</v>
      </c>
      <c r="E66" s="2" t="s">
        <v>19</v>
      </c>
      <c r="F66" s="2" t="s">
        <v>16</v>
      </c>
      <c r="G66" s="2">
        <v>3</v>
      </c>
      <c r="H66" s="2">
        <v>5</v>
      </c>
      <c r="I66" s="2">
        <v>5</v>
      </c>
      <c r="J66" s="2">
        <v>3</v>
      </c>
      <c r="K66" s="2" t="s">
        <v>22</v>
      </c>
    </row>
    <row r="67" spans="1:11" x14ac:dyDescent="0.25">
      <c r="A67" s="2">
        <v>66</v>
      </c>
      <c r="B67" s="2" t="s">
        <v>13</v>
      </c>
      <c r="C67" s="2" t="s">
        <v>14</v>
      </c>
      <c r="D67" s="2" t="s">
        <v>16</v>
      </c>
      <c r="E67" s="2" t="s">
        <v>20</v>
      </c>
      <c r="F67" s="2" t="s">
        <v>16</v>
      </c>
      <c r="G67" s="2">
        <v>3</v>
      </c>
      <c r="H67" s="2">
        <v>3</v>
      </c>
      <c r="I67" s="2">
        <v>5</v>
      </c>
      <c r="J67" s="2">
        <v>3</v>
      </c>
      <c r="K67" s="2" t="s">
        <v>22</v>
      </c>
    </row>
    <row r="68" spans="1:11" x14ac:dyDescent="0.25">
      <c r="A68" s="2">
        <v>67</v>
      </c>
      <c r="B68" s="2" t="s">
        <v>12</v>
      </c>
      <c r="C68" s="2" t="s">
        <v>15</v>
      </c>
      <c r="D68" s="2" t="s">
        <v>17</v>
      </c>
      <c r="E68" s="2" t="s">
        <v>20</v>
      </c>
      <c r="F68" s="2" t="s">
        <v>17</v>
      </c>
      <c r="G68" s="2">
        <v>4</v>
      </c>
      <c r="H68" s="2">
        <v>4</v>
      </c>
      <c r="I68" s="2">
        <v>4</v>
      </c>
      <c r="J68" s="2">
        <v>3</v>
      </c>
      <c r="K68" s="2" t="s">
        <v>22</v>
      </c>
    </row>
    <row r="69" spans="1:11" x14ac:dyDescent="0.25">
      <c r="A69" s="2">
        <v>68</v>
      </c>
      <c r="B69" s="2" t="s">
        <v>11</v>
      </c>
      <c r="C69" s="2" t="s">
        <v>15</v>
      </c>
      <c r="D69" s="2" t="s">
        <v>17</v>
      </c>
      <c r="E69" s="2" t="s">
        <v>19</v>
      </c>
      <c r="F69" s="2" t="s">
        <v>17</v>
      </c>
      <c r="G69" s="2">
        <v>4</v>
      </c>
      <c r="H69" s="2">
        <v>5</v>
      </c>
      <c r="I69" s="2">
        <v>5</v>
      </c>
      <c r="J69" s="2">
        <v>4</v>
      </c>
      <c r="K69" s="2" t="s">
        <v>22</v>
      </c>
    </row>
    <row r="70" spans="1:11" x14ac:dyDescent="0.25">
      <c r="A70" s="2">
        <v>69</v>
      </c>
      <c r="B70" s="2" t="s">
        <v>12</v>
      </c>
      <c r="C70" s="2" t="s">
        <v>14</v>
      </c>
      <c r="D70" s="2" t="s">
        <v>16</v>
      </c>
      <c r="E70" s="2" t="s">
        <v>20</v>
      </c>
      <c r="F70" s="2" t="s">
        <v>16</v>
      </c>
      <c r="G70" s="2">
        <v>3</v>
      </c>
      <c r="H70" s="2">
        <v>3</v>
      </c>
      <c r="I70" s="2">
        <v>3</v>
      </c>
      <c r="J70" s="2">
        <v>5</v>
      </c>
      <c r="K70" s="2" t="s">
        <v>22</v>
      </c>
    </row>
    <row r="71" spans="1:11" x14ac:dyDescent="0.25">
      <c r="A71" s="2">
        <v>70</v>
      </c>
      <c r="B71" s="2" t="s">
        <v>13</v>
      </c>
      <c r="C71" s="2" t="s">
        <v>15</v>
      </c>
      <c r="D71" s="2" t="s">
        <v>16</v>
      </c>
      <c r="E71" s="2" t="s">
        <v>19</v>
      </c>
      <c r="F71" s="2" t="s">
        <v>16</v>
      </c>
      <c r="G71" s="2">
        <v>3</v>
      </c>
      <c r="H71" s="2">
        <v>5</v>
      </c>
      <c r="I71" s="2">
        <v>4</v>
      </c>
      <c r="J71" s="2">
        <v>5</v>
      </c>
      <c r="K71" s="2" t="s">
        <v>21</v>
      </c>
    </row>
    <row r="72" spans="1:11" x14ac:dyDescent="0.25">
      <c r="A72" s="2">
        <v>71</v>
      </c>
      <c r="B72" s="2" t="s">
        <v>11</v>
      </c>
      <c r="C72" s="2" t="s">
        <v>14</v>
      </c>
      <c r="D72" s="2" t="s">
        <v>17</v>
      </c>
      <c r="E72" s="2" t="s">
        <v>19</v>
      </c>
      <c r="F72" s="2" t="s">
        <v>17</v>
      </c>
      <c r="G72" s="2">
        <v>3</v>
      </c>
      <c r="H72" s="2">
        <v>5</v>
      </c>
      <c r="I72" s="2">
        <v>3</v>
      </c>
      <c r="J72" s="2">
        <v>5</v>
      </c>
      <c r="K72" s="2" t="s">
        <v>21</v>
      </c>
    </row>
    <row r="73" spans="1:11" x14ac:dyDescent="0.25">
      <c r="A73" s="2">
        <v>72</v>
      </c>
      <c r="B73" s="2" t="s">
        <v>13</v>
      </c>
      <c r="C73" s="2" t="s">
        <v>15</v>
      </c>
      <c r="D73" s="2" t="s">
        <v>16</v>
      </c>
      <c r="E73" s="2" t="s">
        <v>20</v>
      </c>
      <c r="F73" s="2" t="s">
        <v>16</v>
      </c>
      <c r="G73" s="2">
        <v>3</v>
      </c>
      <c r="H73" s="2">
        <v>5</v>
      </c>
      <c r="I73" s="2">
        <v>5</v>
      </c>
      <c r="J73" s="2">
        <v>5</v>
      </c>
      <c r="K73" s="2" t="s">
        <v>22</v>
      </c>
    </row>
    <row r="74" spans="1:11" x14ac:dyDescent="0.25">
      <c r="A74" s="2">
        <v>73</v>
      </c>
      <c r="B74" s="2" t="s">
        <v>11</v>
      </c>
      <c r="C74" s="2" t="s">
        <v>14</v>
      </c>
      <c r="D74" s="2" t="s">
        <v>16</v>
      </c>
      <c r="E74" s="2" t="s">
        <v>18</v>
      </c>
      <c r="F74" s="2" t="s">
        <v>16</v>
      </c>
      <c r="G74" s="2">
        <v>4</v>
      </c>
      <c r="H74" s="2">
        <v>4</v>
      </c>
      <c r="I74" s="2">
        <v>3</v>
      </c>
      <c r="J74" s="2">
        <v>3</v>
      </c>
      <c r="K74" s="2" t="s">
        <v>22</v>
      </c>
    </row>
    <row r="75" spans="1:11" x14ac:dyDescent="0.25">
      <c r="A75" s="2">
        <v>74</v>
      </c>
      <c r="B75" s="2" t="s">
        <v>12</v>
      </c>
      <c r="C75" s="2" t="s">
        <v>15</v>
      </c>
      <c r="D75" s="2" t="s">
        <v>17</v>
      </c>
      <c r="E75" s="2" t="s">
        <v>18</v>
      </c>
      <c r="F75" s="2" t="s">
        <v>17</v>
      </c>
      <c r="G75" s="2">
        <v>3</v>
      </c>
      <c r="H75" s="2">
        <v>3</v>
      </c>
      <c r="I75" s="2">
        <v>4</v>
      </c>
      <c r="J75" s="2">
        <v>3</v>
      </c>
      <c r="K75" s="2" t="s">
        <v>22</v>
      </c>
    </row>
    <row r="76" spans="1:11" x14ac:dyDescent="0.25">
      <c r="A76" s="2">
        <v>75</v>
      </c>
      <c r="B76" s="2" t="s">
        <v>13</v>
      </c>
      <c r="C76" s="2" t="s">
        <v>15</v>
      </c>
      <c r="D76" s="2" t="s">
        <v>16</v>
      </c>
      <c r="E76" s="2" t="s">
        <v>19</v>
      </c>
      <c r="F76" s="2" t="s">
        <v>16</v>
      </c>
      <c r="G76" s="2">
        <v>4</v>
      </c>
      <c r="H76" s="2">
        <v>5</v>
      </c>
      <c r="I76" s="2">
        <v>3</v>
      </c>
      <c r="J76" s="2">
        <v>5</v>
      </c>
      <c r="K76" s="2" t="s">
        <v>22</v>
      </c>
    </row>
    <row r="77" spans="1:11" x14ac:dyDescent="0.25">
      <c r="A77" s="2">
        <v>76</v>
      </c>
      <c r="B77" s="2" t="s">
        <v>11</v>
      </c>
      <c r="C77" s="2" t="s">
        <v>15</v>
      </c>
      <c r="D77" s="2" t="s">
        <v>17</v>
      </c>
      <c r="E77" s="2" t="s">
        <v>20</v>
      </c>
      <c r="F77" s="2" t="s">
        <v>17</v>
      </c>
      <c r="G77" s="2">
        <v>5</v>
      </c>
      <c r="H77" s="2">
        <v>5</v>
      </c>
      <c r="I77" s="2">
        <v>5</v>
      </c>
      <c r="J77" s="2">
        <v>3</v>
      </c>
      <c r="K77" s="2" t="s">
        <v>21</v>
      </c>
    </row>
    <row r="78" spans="1:11" x14ac:dyDescent="0.25">
      <c r="A78" s="2">
        <v>77</v>
      </c>
      <c r="B78" s="2" t="s">
        <v>13</v>
      </c>
      <c r="C78" s="2" t="s">
        <v>15</v>
      </c>
      <c r="D78" s="2" t="s">
        <v>17</v>
      </c>
      <c r="E78" s="2" t="s">
        <v>18</v>
      </c>
      <c r="F78" s="2" t="s">
        <v>17</v>
      </c>
      <c r="G78" s="2">
        <v>4</v>
      </c>
      <c r="H78" s="2">
        <v>4</v>
      </c>
      <c r="I78" s="2">
        <v>3</v>
      </c>
      <c r="J78" s="2">
        <v>3</v>
      </c>
      <c r="K78" s="2" t="s">
        <v>21</v>
      </c>
    </row>
    <row r="79" spans="1:11" x14ac:dyDescent="0.25">
      <c r="A79" s="2">
        <v>78</v>
      </c>
      <c r="B79" s="2" t="s">
        <v>11</v>
      </c>
      <c r="C79" s="2" t="s">
        <v>15</v>
      </c>
      <c r="D79" s="2" t="s">
        <v>16</v>
      </c>
      <c r="E79" s="2" t="s">
        <v>19</v>
      </c>
      <c r="F79" s="2" t="s">
        <v>16</v>
      </c>
      <c r="G79" s="2">
        <v>5</v>
      </c>
      <c r="H79" s="2">
        <v>5</v>
      </c>
      <c r="I79" s="2">
        <v>3</v>
      </c>
      <c r="J79" s="2">
        <v>4</v>
      </c>
      <c r="K79" s="2" t="s">
        <v>21</v>
      </c>
    </row>
    <row r="80" spans="1:11" x14ac:dyDescent="0.25">
      <c r="A80" s="2">
        <v>79</v>
      </c>
      <c r="B80" s="2" t="s">
        <v>11</v>
      </c>
      <c r="C80" s="2" t="s">
        <v>15</v>
      </c>
      <c r="D80" s="2" t="s">
        <v>17</v>
      </c>
      <c r="E80" s="2" t="s">
        <v>18</v>
      </c>
      <c r="F80" s="2" t="s">
        <v>17</v>
      </c>
      <c r="G80" s="2">
        <v>5</v>
      </c>
      <c r="H80" s="2">
        <v>3</v>
      </c>
      <c r="I80" s="2">
        <v>5</v>
      </c>
      <c r="J80" s="2">
        <v>4</v>
      </c>
      <c r="K80" s="2" t="s">
        <v>22</v>
      </c>
    </row>
    <row r="81" spans="1:11" x14ac:dyDescent="0.25">
      <c r="A81" s="2">
        <v>80</v>
      </c>
      <c r="B81" s="2" t="s">
        <v>12</v>
      </c>
      <c r="C81" s="2" t="s">
        <v>14</v>
      </c>
      <c r="D81" s="2" t="s">
        <v>16</v>
      </c>
      <c r="E81" s="2" t="s">
        <v>19</v>
      </c>
      <c r="F81" s="2" t="s">
        <v>16</v>
      </c>
      <c r="G81" s="2">
        <v>4</v>
      </c>
      <c r="H81" s="2">
        <v>3</v>
      </c>
      <c r="I81" s="2">
        <v>3</v>
      </c>
      <c r="J81" s="2">
        <v>5</v>
      </c>
      <c r="K8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BC07-F982-4D0C-9149-3307ABDD9B3F}">
  <dimension ref="A1:I251"/>
  <sheetViews>
    <sheetView workbookViewId="0">
      <selection activeCell="K5" sqref="K5"/>
    </sheetView>
  </sheetViews>
  <sheetFormatPr defaultRowHeight="15" x14ac:dyDescent="0.25"/>
  <cols>
    <col min="1" max="1" width="10.7109375" bestFit="1" customWidth="1"/>
    <col min="2" max="2" width="8.7109375" bestFit="1" customWidth="1"/>
    <col min="3" max="3" width="15.42578125" bestFit="1" customWidth="1"/>
    <col min="4" max="4" width="14.28515625" bestFit="1" customWidth="1"/>
    <col min="5" max="5" width="6" bestFit="1" customWidth="1"/>
    <col min="6" max="6" width="6.5703125" bestFit="1" customWidth="1"/>
    <col min="7" max="7" width="19.85546875" bestFit="1" customWidth="1"/>
    <col min="8" max="8" width="16.85546875" bestFit="1" customWidth="1"/>
    <col min="9" max="9" width="11.28515625" bestFit="1" customWidth="1"/>
  </cols>
  <sheetData>
    <row r="1" spans="1:9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pans="1:9" x14ac:dyDescent="0.25">
      <c r="A2" s="2" t="str">
        <f>"P"&amp;ROW()-1</f>
        <v>P1</v>
      </c>
      <c r="B2" s="2" t="str">
        <f ca="1">IF(RAND()&lt;0.5,"Amazon","Flipkart")</f>
        <v>Flipkart</v>
      </c>
      <c r="C2" s="2" t="str">
        <f ca="1">CHOOSE(RANDBETWEEN(1,5),"Electronics","Fashion","Home &amp; Kitchen","Beauty","Sports")</f>
        <v>Electronics</v>
      </c>
      <c r="D2" s="2" t="str">
        <f>"Product_"&amp;ROW()-1</f>
        <v>Product_1</v>
      </c>
      <c r="E2" s="2">
        <f ca="1">RANDBETWEEN(100,80000)</f>
        <v>49385</v>
      </c>
      <c r="F2" s="2">
        <f ca="1">ROUND(RAND()*2.5+2.5,1)</f>
        <v>3.1</v>
      </c>
      <c r="G2" s="2">
        <f ca="1">RANDBETWEEN(10,5000)</f>
        <v>385</v>
      </c>
      <c r="H2" s="2" t="str">
        <f ca="1">IF(RAND()&lt;0.8,"In Stock","Out of Stock")</f>
        <v>Out of Stock</v>
      </c>
      <c r="I2" s="2">
        <f ca="1">RANDBETWEEN(5,60)</f>
        <v>5</v>
      </c>
    </row>
    <row r="3" spans="1:9" x14ac:dyDescent="0.25">
      <c r="A3" s="2" t="str">
        <f t="shared" ref="A3:A66" si="0">"P"&amp;ROW()-1</f>
        <v>P2</v>
      </c>
      <c r="B3" s="2" t="str">
        <f t="shared" ref="B3:B66" ca="1" si="1">IF(RAND()&lt;0.5,"Amazon","Flipkart")</f>
        <v>Flipkart</v>
      </c>
      <c r="C3" s="2" t="str">
        <f t="shared" ref="C3:C66" ca="1" si="2">CHOOSE(RANDBETWEEN(1,5),"Electronics","Fashion","Home &amp; Kitchen","Beauty","Sports")</f>
        <v>Fashion</v>
      </c>
      <c r="D3" s="2" t="str">
        <f t="shared" ref="D3:D66" si="3">"Product_"&amp;ROW()-1</f>
        <v>Product_2</v>
      </c>
      <c r="E3" s="2">
        <f t="shared" ref="E3:E66" ca="1" si="4">RANDBETWEEN(100,80000)</f>
        <v>12208</v>
      </c>
      <c r="F3" s="2">
        <f t="shared" ref="F3:F66" ca="1" si="5">ROUND(RAND()*2.5+2.5,1)</f>
        <v>4.4000000000000004</v>
      </c>
      <c r="G3" s="2">
        <f t="shared" ref="G3:G66" ca="1" si="6">RANDBETWEEN(10,5000)</f>
        <v>2789</v>
      </c>
      <c r="H3" s="2" t="str">
        <f t="shared" ref="H3:H66" ca="1" si="7">IF(RAND()&lt;0.8,"In Stock","Out of Stock")</f>
        <v>In Stock</v>
      </c>
      <c r="I3" s="2">
        <f t="shared" ref="I3:I66" ca="1" si="8">RANDBETWEEN(5,60)</f>
        <v>54</v>
      </c>
    </row>
    <row r="4" spans="1:9" x14ac:dyDescent="0.25">
      <c r="A4" s="2" t="str">
        <f t="shared" si="0"/>
        <v>P3</v>
      </c>
      <c r="B4" s="2" t="str">
        <f t="shared" ca="1" si="1"/>
        <v>Amazon</v>
      </c>
      <c r="C4" s="2" t="str">
        <f t="shared" ca="1" si="2"/>
        <v>Sports</v>
      </c>
      <c r="D4" s="2" t="str">
        <f t="shared" si="3"/>
        <v>Product_3</v>
      </c>
      <c r="E4" s="2">
        <f t="shared" ca="1" si="4"/>
        <v>67980</v>
      </c>
      <c r="F4" s="2">
        <f t="shared" ca="1" si="5"/>
        <v>3</v>
      </c>
      <c r="G4" s="2">
        <f t="shared" ca="1" si="6"/>
        <v>2635</v>
      </c>
      <c r="H4" s="2" t="str">
        <f t="shared" ca="1" si="7"/>
        <v>In Stock</v>
      </c>
      <c r="I4" s="2">
        <f t="shared" ca="1" si="8"/>
        <v>58</v>
      </c>
    </row>
    <row r="5" spans="1:9" x14ac:dyDescent="0.25">
      <c r="A5" s="2" t="str">
        <f t="shared" si="0"/>
        <v>P4</v>
      </c>
      <c r="B5" s="2" t="str">
        <f t="shared" ca="1" si="1"/>
        <v>Amazon</v>
      </c>
      <c r="C5" s="2" t="str">
        <f t="shared" ca="1" si="2"/>
        <v>Beauty</v>
      </c>
      <c r="D5" s="2" t="str">
        <f t="shared" si="3"/>
        <v>Product_4</v>
      </c>
      <c r="E5" s="2">
        <f t="shared" ca="1" si="4"/>
        <v>24921</v>
      </c>
      <c r="F5" s="2">
        <f t="shared" ca="1" si="5"/>
        <v>4.2</v>
      </c>
      <c r="G5" s="2">
        <f t="shared" ca="1" si="6"/>
        <v>1590</v>
      </c>
      <c r="H5" s="2" t="str">
        <f t="shared" ca="1" si="7"/>
        <v>Out of Stock</v>
      </c>
      <c r="I5" s="2">
        <f t="shared" ca="1" si="8"/>
        <v>36</v>
      </c>
    </row>
    <row r="6" spans="1:9" x14ac:dyDescent="0.25">
      <c r="A6" s="2" t="str">
        <f t="shared" si="0"/>
        <v>P5</v>
      </c>
      <c r="B6" s="2" t="str">
        <f t="shared" ca="1" si="1"/>
        <v>Flipkart</v>
      </c>
      <c r="C6" s="2" t="str">
        <f t="shared" ca="1" si="2"/>
        <v>Sports</v>
      </c>
      <c r="D6" s="2" t="str">
        <f t="shared" si="3"/>
        <v>Product_5</v>
      </c>
      <c r="E6" s="2">
        <f t="shared" ca="1" si="4"/>
        <v>50879</v>
      </c>
      <c r="F6" s="2">
        <f t="shared" ca="1" si="5"/>
        <v>3.2</v>
      </c>
      <c r="G6" s="2">
        <f t="shared" ca="1" si="6"/>
        <v>2284</v>
      </c>
      <c r="H6" s="2" t="str">
        <f t="shared" ca="1" si="7"/>
        <v>In Stock</v>
      </c>
      <c r="I6" s="2">
        <f t="shared" ca="1" si="8"/>
        <v>6</v>
      </c>
    </row>
    <row r="7" spans="1:9" x14ac:dyDescent="0.25">
      <c r="A7" s="2" t="str">
        <f t="shared" si="0"/>
        <v>P6</v>
      </c>
      <c r="B7" s="2" t="str">
        <f t="shared" ca="1" si="1"/>
        <v>Amazon</v>
      </c>
      <c r="C7" s="2" t="str">
        <f t="shared" ca="1" si="2"/>
        <v>Sports</v>
      </c>
      <c r="D7" s="2" t="str">
        <f t="shared" si="3"/>
        <v>Product_6</v>
      </c>
      <c r="E7" s="2">
        <f t="shared" ca="1" si="4"/>
        <v>60975</v>
      </c>
      <c r="F7" s="2">
        <f t="shared" ca="1" si="5"/>
        <v>4.7</v>
      </c>
      <c r="G7" s="2">
        <f t="shared" ca="1" si="6"/>
        <v>1068</v>
      </c>
      <c r="H7" s="2" t="str">
        <f t="shared" ca="1" si="7"/>
        <v>Out of Stock</v>
      </c>
      <c r="I7" s="2">
        <f t="shared" ca="1" si="8"/>
        <v>9</v>
      </c>
    </row>
    <row r="8" spans="1:9" x14ac:dyDescent="0.25">
      <c r="A8" s="2" t="str">
        <f t="shared" si="0"/>
        <v>P7</v>
      </c>
      <c r="B8" s="2" t="str">
        <f t="shared" ca="1" si="1"/>
        <v>Amazon</v>
      </c>
      <c r="C8" s="2" t="str">
        <f t="shared" ca="1" si="2"/>
        <v>Beauty</v>
      </c>
      <c r="D8" s="2" t="str">
        <f t="shared" si="3"/>
        <v>Product_7</v>
      </c>
      <c r="E8" s="2">
        <f t="shared" ca="1" si="4"/>
        <v>79246</v>
      </c>
      <c r="F8" s="2">
        <f t="shared" ca="1" si="5"/>
        <v>4.5999999999999996</v>
      </c>
      <c r="G8" s="2">
        <f t="shared" ca="1" si="6"/>
        <v>3174</v>
      </c>
      <c r="H8" s="2" t="str">
        <f t="shared" ca="1" si="7"/>
        <v>Out of Stock</v>
      </c>
      <c r="I8" s="2">
        <f t="shared" ca="1" si="8"/>
        <v>48</v>
      </c>
    </row>
    <row r="9" spans="1:9" x14ac:dyDescent="0.25">
      <c r="A9" s="2" t="str">
        <f t="shared" si="0"/>
        <v>P8</v>
      </c>
      <c r="B9" s="2" t="str">
        <f t="shared" ca="1" si="1"/>
        <v>Amazon</v>
      </c>
      <c r="C9" s="2" t="str">
        <f t="shared" ca="1" si="2"/>
        <v>Home &amp; Kitchen</v>
      </c>
      <c r="D9" s="2" t="str">
        <f t="shared" si="3"/>
        <v>Product_8</v>
      </c>
      <c r="E9" s="2">
        <f t="shared" ca="1" si="4"/>
        <v>60761</v>
      </c>
      <c r="F9" s="2">
        <f t="shared" ca="1" si="5"/>
        <v>4.3</v>
      </c>
      <c r="G9" s="2">
        <f t="shared" ca="1" si="6"/>
        <v>3355</v>
      </c>
      <c r="H9" s="2" t="str">
        <f t="shared" ca="1" si="7"/>
        <v>Out of Stock</v>
      </c>
      <c r="I9" s="2">
        <f t="shared" ca="1" si="8"/>
        <v>31</v>
      </c>
    </row>
    <row r="10" spans="1:9" x14ac:dyDescent="0.25">
      <c r="A10" s="2" t="str">
        <f t="shared" si="0"/>
        <v>P9</v>
      </c>
      <c r="B10" s="2" t="str">
        <f t="shared" ca="1" si="1"/>
        <v>Amazon</v>
      </c>
      <c r="C10" s="2" t="str">
        <f t="shared" ca="1" si="2"/>
        <v>Beauty</v>
      </c>
      <c r="D10" s="2" t="str">
        <f t="shared" si="3"/>
        <v>Product_9</v>
      </c>
      <c r="E10" s="2">
        <f t="shared" ca="1" si="4"/>
        <v>57317</v>
      </c>
      <c r="F10" s="2">
        <f t="shared" ca="1" si="5"/>
        <v>3.3</v>
      </c>
      <c r="G10" s="2">
        <f t="shared" ca="1" si="6"/>
        <v>4856</v>
      </c>
      <c r="H10" s="2" t="str">
        <f t="shared" ca="1" si="7"/>
        <v>In Stock</v>
      </c>
      <c r="I10" s="2">
        <f t="shared" ca="1" si="8"/>
        <v>34</v>
      </c>
    </row>
    <row r="11" spans="1:9" x14ac:dyDescent="0.25">
      <c r="A11" s="2" t="str">
        <f t="shared" si="0"/>
        <v>P10</v>
      </c>
      <c r="B11" s="2" t="str">
        <f t="shared" ca="1" si="1"/>
        <v>Amazon</v>
      </c>
      <c r="C11" s="2" t="str">
        <f t="shared" ca="1" si="2"/>
        <v>Sports</v>
      </c>
      <c r="D11" s="2" t="str">
        <f t="shared" si="3"/>
        <v>Product_10</v>
      </c>
      <c r="E11" s="2">
        <f t="shared" ca="1" si="4"/>
        <v>8295</v>
      </c>
      <c r="F11" s="2">
        <f t="shared" ca="1" si="5"/>
        <v>4.5999999999999996</v>
      </c>
      <c r="G11" s="2">
        <f t="shared" ca="1" si="6"/>
        <v>1759</v>
      </c>
      <c r="H11" s="2" t="str">
        <f t="shared" ca="1" si="7"/>
        <v>In Stock</v>
      </c>
      <c r="I11" s="2">
        <f t="shared" ca="1" si="8"/>
        <v>42</v>
      </c>
    </row>
    <row r="12" spans="1:9" x14ac:dyDescent="0.25">
      <c r="A12" s="2" t="str">
        <f t="shared" si="0"/>
        <v>P11</v>
      </c>
      <c r="B12" s="2" t="str">
        <f t="shared" ca="1" si="1"/>
        <v>Flipkart</v>
      </c>
      <c r="C12" s="2" t="str">
        <f t="shared" ca="1" si="2"/>
        <v>Home &amp; Kitchen</v>
      </c>
      <c r="D12" s="2" t="str">
        <f t="shared" si="3"/>
        <v>Product_11</v>
      </c>
      <c r="E12" s="2">
        <f t="shared" ca="1" si="4"/>
        <v>25050</v>
      </c>
      <c r="F12" s="2">
        <f t="shared" ca="1" si="5"/>
        <v>4.8</v>
      </c>
      <c r="G12" s="2">
        <f t="shared" ca="1" si="6"/>
        <v>986</v>
      </c>
      <c r="H12" s="2" t="str">
        <f t="shared" ca="1" si="7"/>
        <v>In Stock</v>
      </c>
      <c r="I12" s="2">
        <f t="shared" ca="1" si="8"/>
        <v>51</v>
      </c>
    </row>
    <row r="13" spans="1:9" x14ac:dyDescent="0.25">
      <c r="A13" s="2" t="str">
        <f t="shared" si="0"/>
        <v>P12</v>
      </c>
      <c r="B13" s="2" t="str">
        <f t="shared" ca="1" si="1"/>
        <v>Amazon</v>
      </c>
      <c r="C13" s="2" t="str">
        <f t="shared" ca="1" si="2"/>
        <v>Sports</v>
      </c>
      <c r="D13" s="2" t="str">
        <f t="shared" si="3"/>
        <v>Product_12</v>
      </c>
      <c r="E13" s="2">
        <f t="shared" ca="1" si="4"/>
        <v>18262</v>
      </c>
      <c r="F13" s="2">
        <f t="shared" ca="1" si="5"/>
        <v>3.4</v>
      </c>
      <c r="G13" s="2">
        <f t="shared" ca="1" si="6"/>
        <v>4398</v>
      </c>
      <c r="H13" s="2" t="str">
        <f t="shared" ca="1" si="7"/>
        <v>In Stock</v>
      </c>
      <c r="I13" s="2">
        <f t="shared" ca="1" si="8"/>
        <v>5</v>
      </c>
    </row>
    <row r="14" spans="1:9" x14ac:dyDescent="0.25">
      <c r="A14" s="2" t="str">
        <f t="shared" si="0"/>
        <v>P13</v>
      </c>
      <c r="B14" s="2" t="str">
        <f t="shared" ca="1" si="1"/>
        <v>Amazon</v>
      </c>
      <c r="C14" s="2" t="str">
        <f t="shared" ca="1" si="2"/>
        <v>Home &amp; Kitchen</v>
      </c>
      <c r="D14" s="2" t="str">
        <f t="shared" si="3"/>
        <v>Product_13</v>
      </c>
      <c r="E14" s="2">
        <f t="shared" ca="1" si="4"/>
        <v>53352</v>
      </c>
      <c r="F14" s="2">
        <f t="shared" ca="1" si="5"/>
        <v>3.2</v>
      </c>
      <c r="G14" s="2">
        <f t="shared" ca="1" si="6"/>
        <v>3912</v>
      </c>
      <c r="H14" s="2" t="str">
        <f t="shared" ca="1" si="7"/>
        <v>In Stock</v>
      </c>
      <c r="I14" s="2">
        <f t="shared" ca="1" si="8"/>
        <v>35</v>
      </c>
    </row>
    <row r="15" spans="1:9" x14ac:dyDescent="0.25">
      <c r="A15" s="2" t="str">
        <f t="shared" si="0"/>
        <v>P14</v>
      </c>
      <c r="B15" s="2" t="str">
        <f t="shared" ca="1" si="1"/>
        <v>Flipkart</v>
      </c>
      <c r="C15" s="2" t="str">
        <f t="shared" ca="1" si="2"/>
        <v>Electronics</v>
      </c>
      <c r="D15" s="2" t="str">
        <f t="shared" si="3"/>
        <v>Product_14</v>
      </c>
      <c r="E15" s="2">
        <f t="shared" ca="1" si="4"/>
        <v>19178</v>
      </c>
      <c r="F15" s="2">
        <f t="shared" ca="1" si="5"/>
        <v>4.0999999999999996</v>
      </c>
      <c r="G15" s="2">
        <f t="shared" ca="1" si="6"/>
        <v>4378</v>
      </c>
      <c r="H15" s="2" t="str">
        <f t="shared" ca="1" si="7"/>
        <v>In Stock</v>
      </c>
      <c r="I15" s="2">
        <f t="shared" ca="1" si="8"/>
        <v>15</v>
      </c>
    </row>
    <row r="16" spans="1:9" x14ac:dyDescent="0.25">
      <c r="A16" s="2" t="str">
        <f t="shared" si="0"/>
        <v>P15</v>
      </c>
      <c r="B16" s="2" t="str">
        <f t="shared" ca="1" si="1"/>
        <v>Amazon</v>
      </c>
      <c r="C16" s="2" t="str">
        <f t="shared" ca="1" si="2"/>
        <v>Home &amp; Kitchen</v>
      </c>
      <c r="D16" s="2" t="str">
        <f t="shared" si="3"/>
        <v>Product_15</v>
      </c>
      <c r="E16" s="2">
        <f t="shared" ca="1" si="4"/>
        <v>71834</v>
      </c>
      <c r="F16" s="2">
        <f t="shared" ca="1" si="5"/>
        <v>3.2</v>
      </c>
      <c r="G16" s="2">
        <f t="shared" ca="1" si="6"/>
        <v>2145</v>
      </c>
      <c r="H16" s="2" t="str">
        <f t="shared" ca="1" si="7"/>
        <v>Out of Stock</v>
      </c>
      <c r="I16" s="2">
        <f t="shared" ca="1" si="8"/>
        <v>16</v>
      </c>
    </row>
    <row r="17" spans="1:9" x14ac:dyDescent="0.25">
      <c r="A17" s="2" t="str">
        <f t="shared" si="0"/>
        <v>P16</v>
      </c>
      <c r="B17" s="2" t="str">
        <f t="shared" ca="1" si="1"/>
        <v>Flipkart</v>
      </c>
      <c r="C17" s="2" t="str">
        <f t="shared" ca="1" si="2"/>
        <v>Fashion</v>
      </c>
      <c r="D17" s="2" t="str">
        <f t="shared" si="3"/>
        <v>Product_16</v>
      </c>
      <c r="E17" s="2">
        <f t="shared" ca="1" si="4"/>
        <v>8420</v>
      </c>
      <c r="F17" s="2">
        <f t="shared" ca="1" si="5"/>
        <v>2.6</v>
      </c>
      <c r="G17" s="2">
        <f t="shared" ca="1" si="6"/>
        <v>2321</v>
      </c>
      <c r="H17" s="2" t="str">
        <f t="shared" ca="1" si="7"/>
        <v>Out of Stock</v>
      </c>
      <c r="I17" s="2">
        <f t="shared" ca="1" si="8"/>
        <v>29</v>
      </c>
    </row>
    <row r="18" spans="1:9" x14ac:dyDescent="0.25">
      <c r="A18" s="2" t="str">
        <f t="shared" si="0"/>
        <v>P17</v>
      </c>
      <c r="B18" s="2" t="str">
        <f t="shared" ca="1" si="1"/>
        <v>Amazon</v>
      </c>
      <c r="C18" s="2" t="str">
        <f t="shared" ca="1" si="2"/>
        <v>Beauty</v>
      </c>
      <c r="D18" s="2" t="str">
        <f t="shared" si="3"/>
        <v>Product_17</v>
      </c>
      <c r="E18" s="2">
        <f t="shared" ca="1" si="4"/>
        <v>50937</v>
      </c>
      <c r="F18" s="2">
        <f t="shared" ca="1" si="5"/>
        <v>4</v>
      </c>
      <c r="G18" s="2">
        <f t="shared" ca="1" si="6"/>
        <v>1513</v>
      </c>
      <c r="H18" s="2" t="str">
        <f t="shared" ca="1" si="7"/>
        <v>Out of Stock</v>
      </c>
      <c r="I18" s="2">
        <f t="shared" ca="1" si="8"/>
        <v>21</v>
      </c>
    </row>
    <row r="19" spans="1:9" x14ac:dyDescent="0.25">
      <c r="A19" s="2" t="str">
        <f t="shared" si="0"/>
        <v>P18</v>
      </c>
      <c r="B19" s="2" t="str">
        <f t="shared" ca="1" si="1"/>
        <v>Flipkart</v>
      </c>
      <c r="C19" s="2" t="str">
        <f t="shared" ca="1" si="2"/>
        <v>Fashion</v>
      </c>
      <c r="D19" s="2" t="str">
        <f t="shared" si="3"/>
        <v>Product_18</v>
      </c>
      <c r="E19" s="2">
        <f t="shared" ca="1" si="4"/>
        <v>58602</v>
      </c>
      <c r="F19" s="2">
        <f t="shared" ca="1" si="5"/>
        <v>4.9000000000000004</v>
      </c>
      <c r="G19" s="2">
        <f t="shared" ca="1" si="6"/>
        <v>3324</v>
      </c>
      <c r="H19" s="2" t="str">
        <f t="shared" ca="1" si="7"/>
        <v>In Stock</v>
      </c>
      <c r="I19" s="2">
        <f t="shared" ca="1" si="8"/>
        <v>30</v>
      </c>
    </row>
    <row r="20" spans="1:9" x14ac:dyDescent="0.25">
      <c r="A20" s="2" t="str">
        <f t="shared" si="0"/>
        <v>P19</v>
      </c>
      <c r="B20" s="2" t="str">
        <f t="shared" ca="1" si="1"/>
        <v>Amazon</v>
      </c>
      <c r="C20" s="2" t="str">
        <f t="shared" ca="1" si="2"/>
        <v>Electronics</v>
      </c>
      <c r="D20" s="2" t="str">
        <f t="shared" si="3"/>
        <v>Product_19</v>
      </c>
      <c r="E20" s="2">
        <f t="shared" ca="1" si="4"/>
        <v>49484</v>
      </c>
      <c r="F20" s="2">
        <f t="shared" ca="1" si="5"/>
        <v>4.3</v>
      </c>
      <c r="G20" s="2">
        <f t="shared" ca="1" si="6"/>
        <v>3846</v>
      </c>
      <c r="H20" s="2" t="str">
        <f t="shared" ca="1" si="7"/>
        <v>In Stock</v>
      </c>
      <c r="I20" s="2">
        <f t="shared" ca="1" si="8"/>
        <v>48</v>
      </c>
    </row>
    <row r="21" spans="1:9" x14ac:dyDescent="0.25">
      <c r="A21" s="2" t="str">
        <f t="shared" si="0"/>
        <v>P20</v>
      </c>
      <c r="B21" s="2" t="str">
        <f t="shared" ca="1" si="1"/>
        <v>Flipkart</v>
      </c>
      <c r="C21" s="2" t="str">
        <f t="shared" ca="1" si="2"/>
        <v>Fashion</v>
      </c>
      <c r="D21" s="2" t="str">
        <f t="shared" si="3"/>
        <v>Product_20</v>
      </c>
      <c r="E21" s="2">
        <f t="shared" ca="1" si="4"/>
        <v>5969</v>
      </c>
      <c r="F21" s="2">
        <f t="shared" ca="1" si="5"/>
        <v>4.2</v>
      </c>
      <c r="G21" s="2">
        <f t="shared" ca="1" si="6"/>
        <v>2302</v>
      </c>
      <c r="H21" s="2" t="str">
        <f t="shared" ca="1" si="7"/>
        <v>In Stock</v>
      </c>
      <c r="I21" s="2">
        <f t="shared" ca="1" si="8"/>
        <v>8</v>
      </c>
    </row>
    <row r="22" spans="1:9" x14ac:dyDescent="0.25">
      <c r="A22" s="2" t="str">
        <f t="shared" si="0"/>
        <v>P21</v>
      </c>
      <c r="B22" s="2" t="str">
        <f t="shared" ca="1" si="1"/>
        <v>Flipkart</v>
      </c>
      <c r="C22" s="2" t="str">
        <f t="shared" ca="1" si="2"/>
        <v>Beauty</v>
      </c>
      <c r="D22" s="2" t="str">
        <f t="shared" si="3"/>
        <v>Product_21</v>
      </c>
      <c r="E22" s="2">
        <f t="shared" ca="1" si="4"/>
        <v>28395</v>
      </c>
      <c r="F22" s="2">
        <f t="shared" ca="1" si="5"/>
        <v>4.9000000000000004</v>
      </c>
      <c r="G22" s="2">
        <f t="shared" ca="1" si="6"/>
        <v>4179</v>
      </c>
      <c r="H22" s="2" t="str">
        <f t="shared" ca="1" si="7"/>
        <v>In Stock</v>
      </c>
      <c r="I22" s="2">
        <f t="shared" ca="1" si="8"/>
        <v>42</v>
      </c>
    </row>
    <row r="23" spans="1:9" x14ac:dyDescent="0.25">
      <c r="A23" s="2" t="str">
        <f t="shared" si="0"/>
        <v>P22</v>
      </c>
      <c r="B23" s="2" t="str">
        <f t="shared" ca="1" si="1"/>
        <v>Flipkart</v>
      </c>
      <c r="C23" s="2" t="str">
        <f t="shared" ca="1" si="2"/>
        <v>Electronics</v>
      </c>
      <c r="D23" s="2" t="str">
        <f t="shared" si="3"/>
        <v>Product_22</v>
      </c>
      <c r="E23" s="2">
        <f t="shared" ca="1" si="4"/>
        <v>1258</v>
      </c>
      <c r="F23" s="2">
        <f t="shared" ca="1" si="5"/>
        <v>2.7</v>
      </c>
      <c r="G23" s="2">
        <f t="shared" ca="1" si="6"/>
        <v>570</v>
      </c>
      <c r="H23" s="2" t="str">
        <f t="shared" ca="1" si="7"/>
        <v>Out of Stock</v>
      </c>
      <c r="I23" s="2">
        <f t="shared" ca="1" si="8"/>
        <v>26</v>
      </c>
    </row>
    <row r="24" spans="1:9" x14ac:dyDescent="0.25">
      <c r="A24" s="2" t="str">
        <f t="shared" si="0"/>
        <v>P23</v>
      </c>
      <c r="B24" s="2" t="str">
        <f t="shared" ca="1" si="1"/>
        <v>Amazon</v>
      </c>
      <c r="C24" s="2" t="str">
        <f t="shared" ca="1" si="2"/>
        <v>Electronics</v>
      </c>
      <c r="D24" s="2" t="str">
        <f t="shared" si="3"/>
        <v>Product_23</v>
      </c>
      <c r="E24" s="2">
        <f t="shared" ca="1" si="4"/>
        <v>6063</v>
      </c>
      <c r="F24" s="2">
        <f t="shared" ca="1" si="5"/>
        <v>4.0999999999999996</v>
      </c>
      <c r="G24" s="2">
        <f t="shared" ca="1" si="6"/>
        <v>2713</v>
      </c>
      <c r="H24" s="2" t="str">
        <f t="shared" ca="1" si="7"/>
        <v>In Stock</v>
      </c>
      <c r="I24" s="2">
        <f t="shared" ca="1" si="8"/>
        <v>21</v>
      </c>
    </row>
    <row r="25" spans="1:9" x14ac:dyDescent="0.25">
      <c r="A25" s="2" t="str">
        <f t="shared" si="0"/>
        <v>P24</v>
      </c>
      <c r="B25" s="2" t="str">
        <f t="shared" ca="1" si="1"/>
        <v>Amazon</v>
      </c>
      <c r="C25" s="2" t="str">
        <f t="shared" ca="1" si="2"/>
        <v>Fashion</v>
      </c>
      <c r="D25" s="2" t="str">
        <f t="shared" si="3"/>
        <v>Product_24</v>
      </c>
      <c r="E25" s="2">
        <f t="shared" ca="1" si="4"/>
        <v>23969</v>
      </c>
      <c r="F25" s="2">
        <f t="shared" ca="1" si="5"/>
        <v>4.9000000000000004</v>
      </c>
      <c r="G25" s="2">
        <f t="shared" ca="1" si="6"/>
        <v>1781</v>
      </c>
      <c r="H25" s="2" t="str">
        <f t="shared" ca="1" si="7"/>
        <v>In Stock</v>
      </c>
      <c r="I25" s="2">
        <f t="shared" ca="1" si="8"/>
        <v>35</v>
      </c>
    </row>
    <row r="26" spans="1:9" x14ac:dyDescent="0.25">
      <c r="A26" s="2" t="str">
        <f t="shared" si="0"/>
        <v>P25</v>
      </c>
      <c r="B26" s="2" t="str">
        <f t="shared" ca="1" si="1"/>
        <v>Flipkart</v>
      </c>
      <c r="C26" s="2" t="str">
        <f t="shared" ca="1" si="2"/>
        <v>Fashion</v>
      </c>
      <c r="D26" s="2" t="str">
        <f t="shared" si="3"/>
        <v>Product_25</v>
      </c>
      <c r="E26" s="2">
        <f t="shared" ca="1" si="4"/>
        <v>52263</v>
      </c>
      <c r="F26" s="2">
        <f t="shared" ca="1" si="5"/>
        <v>4.0999999999999996</v>
      </c>
      <c r="G26" s="2">
        <f t="shared" ca="1" si="6"/>
        <v>4009</v>
      </c>
      <c r="H26" s="2" t="str">
        <f t="shared" ca="1" si="7"/>
        <v>Out of Stock</v>
      </c>
      <c r="I26" s="2">
        <f t="shared" ca="1" si="8"/>
        <v>9</v>
      </c>
    </row>
    <row r="27" spans="1:9" x14ac:dyDescent="0.25">
      <c r="A27" s="2" t="str">
        <f t="shared" si="0"/>
        <v>P26</v>
      </c>
      <c r="B27" s="2" t="str">
        <f t="shared" ca="1" si="1"/>
        <v>Amazon</v>
      </c>
      <c r="C27" s="2" t="str">
        <f t="shared" ca="1" si="2"/>
        <v>Beauty</v>
      </c>
      <c r="D27" s="2" t="str">
        <f t="shared" si="3"/>
        <v>Product_26</v>
      </c>
      <c r="E27" s="2">
        <f t="shared" ca="1" si="4"/>
        <v>79647</v>
      </c>
      <c r="F27" s="2">
        <f t="shared" ca="1" si="5"/>
        <v>2.9</v>
      </c>
      <c r="G27" s="2">
        <f t="shared" ca="1" si="6"/>
        <v>3068</v>
      </c>
      <c r="H27" s="2" t="str">
        <f t="shared" ca="1" si="7"/>
        <v>Out of Stock</v>
      </c>
      <c r="I27" s="2">
        <f t="shared" ca="1" si="8"/>
        <v>49</v>
      </c>
    </row>
    <row r="28" spans="1:9" x14ac:dyDescent="0.25">
      <c r="A28" s="2" t="str">
        <f t="shared" si="0"/>
        <v>P27</v>
      </c>
      <c r="B28" s="2" t="str">
        <f t="shared" ca="1" si="1"/>
        <v>Amazon</v>
      </c>
      <c r="C28" s="2" t="str">
        <f t="shared" ca="1" si="2"/>
        <v>Fashion</v>
      </c>
      <c r="D28" s="2" t="str">
        <f t="shared" si="3"/>
        <v>Product_27</v>
      </c>
      <c r="E28" s="2">
        <f t="shared" ca="1" si="4"/>
        <v>19633</v>
      </c>
      <c r="F28" s="2">
        <f t="shared" ca="1" si="5"/>
        <v>4.5</v>
      </c>
      <c r="G28" s="2">
        <f t="shared" ca="1" si="6"/>
        <v>878</v>
      </c>
      <c r="H28" s="2" t="str">
        <f t="shared" ca="1" si="7"/>
        <v>In Stock</v>
      </c>
      <c r="I28" s="2">
        <f t="shared" ca="1" si="8"/>
        <v>37</v>
      </c>
    </row>
    <row r="29" spans="1:9" x14ac:dyDescent="0.25">
      <c r="A29" s="2" t="str">
        <f t="shared" si="0"/>
        <v>P28</v>
      </c>
      <c r="B29" s="2" t="str">
        <f t="shared" ca="1" si="1"/>
        <v>Amazon</v>
      </c>
      <c r="C29" s="2" t="str">
        <f t="shared" ca="1" si="2"/>
        <v>Sports</v>
      </c>
      <c r="D29" s="2" t="str">
        <f t="shared" si="3"/>
        <v>Product_28</v>
      </c>
      <c r="E29" s="2">
        <f t="shared" ca="1" si="4"/>
        <v>63645</v>
      </c>
      <c r="F29" s="2">
        <f t="shared" ca="1" si="5"/>
        <v>4.7</v>
      </c>
      <c r="G29" s="2">
        <f t="shared" ca="1" si="6"/>
        <v>3136</v>
      </c>
      <c r="H29" s="2" t="str">
        <f t="shared" ca="1" si="7"/>
        <v>In Stock</v>
      </c>
      <c r="I29" s="2">
        <f t="shared" ca="1" si="8"/>
        <v>22</v>
      </c>
    </row>
    <row r="30" spans="1:9" x14ac:dyDescent="0.25">
      <c r="A30" s="2" t="str">
        <f t="shared" si="0"/>
        <v>P29</v>
      </c>
      <c r="B30" s="2" t="str">
        <f t="shared" ca="1" si="1"/>
        <v>Amazon</v>
      </c>
      <c r="C30" s="2" t="str">
        <f t="shared" ca="1" si="2"/>
        <v>Home &amp; Kitchen</v>
      </c>
      <c r="D30" s="2" t="str">
        <f t="shared" si="3"/>
        <v>Product_29</v>
      </c>
      <c r="E30" s="2">
        <f t="shared" ca="1" si="4"/>
        <v>66100</v>
      </c>
      <c r="F30" s="2">
        <f t="shared" ca="1" si="5"/>
        <v>4.0999999999999996</v>
      </c>
      <c r="G30" s="2">
        <f t="shared" ca="1" si="6"/>
        <v>186</v>
      </c>
      <c r="H30" s="2" t="str">
        <f t="shared" ca="1" si="7"/>
        <v>Out of Stock</v>
      </c>
      <c r="I30" s="2">
        <f t="shared" ca="1" si="8"/>
        <v>6</v>
      </c>
    </row>
    <row r="31" spans="1:9" x14ac:dyDescent="0.25">
      <c r="A31" s="2" t="str">
        <f t="shared" si="0"/>
        <v>P30</v>
      </c>
      <c r="B31" s="2" t="str">
        <f t="shared" ca="1" si="1"/>
        <v>Amazon</v>
      </c>
      <c r="C31" s="2" t="str">
        <f t="shared" ca="1" si="2"/>
        <v>Fashion</v>
      </c>
      <c r="D31" s="2" t="str">
        <f t="shared" si="3"/>
        <v>Product_30</v>
      </c>
      <c r="E31" s="2">
        <f t="shared" ca="1" si="4"/>
        <v>9868</v>
      </c>
      <c r="F31" s="2">
        <f t="shared" ca="1" si="5"/>
        <v>2.9</v>
      </c>
      <c r="G31" s="2">
        <f t="shared" ca="1" si="6"/>
        <v>2156</v>
      </c>
      <c r="H31" s="2" t="str">
        <f t="shared" ca="1" si="7"/>
        <v>In Stock</v>
      </c>
      <c r="I31" s="2">
        <f t="shared" ca="1" si="8"/>
        <v>33</v>
      </c>
    </row>
    <row r="32" spans="1:9" x14ac:dyDescent="0.25">
      <c r="A32" s="2" t="str">
        <f t="shared" si="0"/>
        <v>P31</v>
      </c>
      <c r="B32" s="2" t="str">
        <f t="shared" ca="1" si="1"/>
        <v>Flipkart</v>
      </c>
      <c r="C32" s="2" t="str">
        <f t="shared" ca="1" si="2"/>
        <v>Home &amp; Kitchen</v>
      </c>
      <c r="D32" s="2" t="str">
        <f t="shared" si="3"/>
        <v>Product_31</v>
      </c>
      <c r="E32" s="2">
        <f t="shared" ca="1" si="4"/>
        <v>77106</v>
      </c>
      <c r="F32" s="2">
        <f t="shared" ca="1" si="5"/>
        <v>3.7</v>
      </c>
      <c r="G32" s="2">
        <f t="shared" ca="1" si="6"/>
        <v>3415</v>
      </c>
      <c r="H32" s="2" t="str">
        <f t="shared" ca="1" si="7"/>
        <v>In Stock</v>
      </c>
      <c r="I32" s="2">
        <f t="shared" ca="1" si="8"/>
        <v>27</v>
      </c>
    </row>
    <row r="33" spans="1:9" x14ac:dyDescent="0.25">
      <c r="A33" s="2" t="str">
        <f t="shared" si="0"/>
        <v>P32</v>
      </c>
      <c r="B33" s="2" t="str">
        <f t="shared" ca="1" si="1"/>
        <v>Flipkart</v>
      </c>
      <c r="C33" s="2" t="str">
        <f t="shared" ca="1" si="2"/>
        <v>Fashion</v>
      </c>
      <c r="D33" s="2" t="str">
        <f t="shared" si="3"/>
        <v>Product_32</v>
      </c>
      <c r="E33" s="2">
        <f t="shared" ca="1" si="4"/>
        <v>62373</v>
      </c>
      <c r="F33" s="2">
        <f t="shared" ca="1" si="5"/>
        <v>4.7</v>
      </c>
      <c r="G33" s="2">
        <f t="shared" ca="1" si="6"/>
        <v>1480</v>
      </c>
      <c r="H33" s="2" t="str">
        <f t="shared" ca="1" si="7"/>
        <v>In Stock</v>
      </c>
      <c r="I33" s="2">
        <f t="shared" ca="1" si="8"/>
        <v>36</v>
      </c>
    </row>
    <row r="34" spans="1:9" x14ac:dyDescent="0.25">
      <c r="A34" s="2" t="str">
        <f t="shared" si="0"/>
        <v>P33</v>
      </c>
      <c r="B34" s="2" t="str">
        <f t="shared" ca="1" si="1"/>
        <v>Flipkart</v>
      </c>
      <c r="C34" s="2" t="str">
        <f t="shared" ca="1" si="2"/>
        <v>Electronics</v>
      </c>
      <c r="D34" s="2" t="str">
        <f t="shared" si="3"/>
        <v>Product_33</v>
      </c>
      <c r="E34" s="2">
        <f t="shared" ca="1" si="4"/>
        <v>50885</v>
      </c>
      <c r="F34" s="2">
        <f t="shared" ca="1" si="5"/>
        <v>3.2</v>
      </c>
      <c r="G34" s="2">
        <f t="shared" ca="1" si="6"/>
        <v>1331</v>
      </c>
      <c r="H34" s="2" t="str">
        <f t="shared" ca="1" si="7"/>
        <v>In Stock</v>
      </c>
      <c r="I34" s="2">
        <f t="shared" ca="1" si="8"/>
        <v>36</v>
      </c>
    </row>
    <row r="35" spans="1:9" x14ac:dyDescent="0.25">
      <c r="A35" s="2" t="str">
        <f t="shared" si="0"/>
        <v>P34</v>
      </c>
      <c r="B35" s="2" t="str">
        <f t="shared" ca="1" si="1"/>
        <v>Flipkart</v>
      </c>
      <c r="C35" s="2" t="str">
        <f t="shared" ca="1" si="2"/>
        <v>Beauty</v>
      </c>
      <c r="D35" s="2" t="str">
        <f t="shared" si="3"/>
        <v>Product_34</v>
      </c>
      <c r="E35" s="2">
        <f t="shared" ca="1" si="4"/>
        <v>10416</v>
      </c>
      <c r="F35" s="2">
        <f t="shared" ca="1" si="5"/>
        <v>3.5</v>
      </c>
      <c r="G35" s="2">
        <f t="shared" ca="1" si="6"/>
        <v>223</v>
      </c>
      <c r="H35" s="2" t="str">
        <f t="shared" ca="1" si="7"/>
        <v>In Stock</v>
      </c>
      <c r="I35" s="2">
        <f t="shared" ca="1" si="8"/>
        <v>52</v>
      </c>
    </row>
    <row r="36" spans="1:9" x14ac:dyDescent="0.25">
      <c r="A36" s="2" t="str">
        <f t="shared" si="0"/>
        <v>P35</v>
      </c>
      <c r="B36" s="2" t="str">
        <f t="shared" ca="1" si="1"/>
        <v>Flipkart</v>
      </c>
      <c r="C36" s="2" t="str">
        <f t="shared" ca="1" si="2"/>
        <v>Sports</v>
      </c>
      <c r="D36" s="2" t="str">
        <f t="shared" si="3"/>
        <v>Product_35</v>
      </c>
      <c r="E36" s="2">
        <f t="shared" ca="1" si="4"/>
        <v>61654</v>
      </c>
      <c r="F36" s="2">
        <f t="shared" ca="1" si="5"/>
        <v>4.9000000000000004</v>
      </c>
      <c r="G36" s="2">
        <f t="shared" ca="1" si="6"/>
        <v>2323</v>
      </c>
      <c r="H36" s="2" t="str">
        <f t="shared" ca="1" si="7"/>
        <v>In Stock</v>
      </c>
      <c r="I36" s="2">
        <f t="shared" ca="1" si="8"/>
        <v>58</v>
      </c>
    </row>
    <row r="37" spans="1:9" x14ac:dyDescent="0.25">
      <c r="A37" s="2" t="str">
        <f t="shared" si="0"/>
        <v>P36</v>
      </c>
      <c r="B37" s="2" t="str">
        <f t="shared" ca="1" si="1"/>
        <v>Amazon</v>
      </c>
      <c r="C37" s="2" t="str">
        <f t="shared" ca="1" si="2"/>
        <v>Fashion</v>
      </c>
      <c r="D37" s="2" t="str">
        <f t="shared" si="3"/>
        <v>Product_36</v>
      </c>
      <c r="E37" s="2">
        <f t="shared" ca="1" si="4"/>
        <v>28703</v>
      </c>
      <c r="F37" s="2">
        <f t="shared" ca="1" si="5"/>
        <v>3.2</v>
      </c>
      <c r="G37" s="2">
        <f t="shared" ca="1" si="6"/>
        <v>2003</v>
      </c>
      <c r="H37" s="2" t="str">
        <f t="shared" ca="1" si="7"/>
        <v>In Stock</v>
      </c>
      <c r="I37" s="2">
        <f t="shared" ca="1" si="8"/>
        <v>11</v>
      </c>
    </row>
    <row r="38" spans="1:9" x14ac:dyDescent="0.25">
      <c r="A38" s="2" t="str">
        <f t="shared" si="0"/>
        <v>P37</v>
      </c>
      <c r="B38" s="2" t="str">
        <f t="shared" ca="1" si="1"/>
        <v>Amazon</v>
      </c>
      <c r="C38" s="2" t="str">
        <f t="shared" ca="1" si="2"/>
        <v>Beauty</v>
      </c>
      <c r="D38" s="2" t="str">
        <f t="shared" si="3"/>
        <v>Product_37</v>
      </c>
      <c r="E38" s="2">
        <f t="shared" ca="1" si="4"/>
        <v>60519</v>
      </c>
      <c r="F38" s="2">
        <f t="shared" ca="1" si="5"/>
        <v>3.7</v>
      </c>
      <c r="G38" s="2">
        <f t="shared" ca="1" si="6"/>
        <v>2948</v>
      </c>
      <c r="H38" s="2" t="str">
        <f t="shared" ca="1" si="7"/>
        <v>In Stock</v>
      </c>
      <c r="I38" s="2">
        <f t="shared" ca="1" si="8"/>
        <v>36</v>
      </c>
    </row>
    <row r="39" spans="1:9" x14ac:dyDescent="0.25">
      <c r="A39" s="2" t="str">
        <f t="shared" si="0"/>
        <v>P38</v>
      </c>
      <c r="B39" s="2" t="str">
        <f t="shared" ca="1" si="1"/>
        <v>Amazon</v>
      </c>
      <c r="C39" s="2" t="str">
        <f t="shared" ca="1" si="2"/>
        <v>Beauty</v>
      </c>
      <c r="D39" s="2" t="str">
        <f t="shared" si="3"/>
        <v>Product_38</v>
      </c>
      <c r="E39" s="2">
        <f t="shared" ca="1" si="4"/>
        <v>4510</v>
      </c>
      <c r="F39" s="2">
        <f t="shared" ca="1" si="5"/>
        <v>3.7</v>
      </c>
      <c r="G39" s="2">
        <f t="shared" ca="1" si="6"/>
        <v>821</v>
      </c>
      <c r="H39" s="2" t="str">
        <f t="shared" ca="1" si="7"/>
        <v>In Stock</v>
      </c>
      <c r="I39" s="2">
        <f t="shared" ca="1" si="8"/>
        <v>29</v>
      </c>
    </row>
    <row r="40" spans="1:9" x14ac:dyDescent="0.25">
      <c r="A40" s="2" t="str">
        <f t="shared" si="0"/>
        <v>P39</v>
      </c>
      <c r="B40" s="2" t="str">
        <f t="shared" ca="1" si="1"/>
        <v>Amazon</v>
      </c>
      <c r="C40" s="2" t="str">
        <f t="shared" ca="1" si="2"/>
        <v>Beauty</v>
      </c>
      <c r="D40" s="2" t="str">
        <f t="shared" si="3"/>
        <v>Product_39</v>
      </c>
      <c r="E40" s="2">
        <f t="shared" ca="1" si="4"/>
        <v>28043</v>
      </c>
      <c r="F40" s="2">
        <f t="shared" ca="1" si="5"/>
        <v>4.5</v>
      </c>
      <c r="G40" s="2">
        <f t="shared" ca="1" si="6"/>
        <v>417</v>
      </c>
      <c r="H40" s="2" t="str">
        <f t="shared" ca="1" si="7"/>
        <v>Out of Stock</v>
      </c>
      <c r="I40" s="2">
        <f t="shared" ca="1" si="8"/>
        <v>47</v>
      </c>
    </row>
    <row r="41" spans="1:9" x14ac:dyDescent="0.25">
      <c r="A41" s="2" t="str">
        <f t="shared" si="0"/>
        <v>P40</v>
      </c>
      <c r="B41" s="2" t="str">
        <f t="shared" ca="1" si="1"/>
        <v>Amazon</v>
      </c>
      <c r="C41" s="2" t="str">
        <f t="shared" ca="1" si="2"/>
        <v>Beauty</v>
      </c>
      <c r="D41" s="2" t="str">
        <f t="shared" si="3"/>
        <v>Product_40</v>
      </c>
      <c r="E41" s="2">
        <f t="shared" ca="1" si="4"/>
        <v>42673</v>
      </c>
      <c r="F41" s="2">
        <f t="shared" ca="1" si="5"/>
        <v>2.9</v>
      </c>
      <c r="G41" s="2">
        <f t="shared" ca="1" si="6"/>
        <v>1164</v>
      </c>
      <c r="H41" s="2" t="str">
        <f t="shared" ca="1" si="7"/>
        <v>In Stock</v>
      </c>
      <c r="I41" s="2">
        <f t="shared" ca="1" si="8"/>
        <v>51</v>
      </c>
    </row>
    <row r="42" spans="1:9" x14ac:dyDescent="0.25">
      <c r="A42" s="2" t="str">
        <f t="shared" si="0"/>
        <v>P41</v>
      </c>
      <c r="B42" s="2" t="str">
        <f t="shared" ca="1" si="1"/>
        <v>Flipkart</v>
      </c>
      <c r="C42" s="2" t="str">
        <f t="shared" ca="1" si="2"/>
        <v>Fashion</v>
      </c>
      <c r="D42" s="2" t="str">
        <f t="shared" si="3"/>
        <v>Product_41</v>
      </c>
      <c r="E42" s="2">
        <f t="shared" ca="1" si="4"/>
        <v>70624</v>
      </c>
      <c r="F42" s="2">
        <f t="shared" ca="1" si="5"/>
        <v>4.5</v>
      </c>
      <c r="G42" s="2">
        <f t="shared" ca="1" si="6"/>
        <v>2030</v>
      </c>
      <c r="H42" s="2" t="str">
        <f t="shared" ca="1" si="7"/>
        <v>In Stock</v>
      </c>
      <c r="I42" s="2">
        <f t="shared" ca="1" si="8"/>
        <v>33</v>
      </c>
    </row>
    <row r="43" spans="1:9" x14ac:dyDescent="0.25">
      <c r="A43" s="2" t="str">
        <f t="shared" si="0"/>
        <v>P42</v>
      </c>
      <c r="B43" s="2" t="str">
        <f t="shared" ca="1" si="1"/>
        <v>Flipkart</v>
      </c>
      <c r="C43" s="2" t="str">
        <f t="shared" ca="1" si="2"/>
        <v>Fashion</v>
      </c>
      <c r="D43" s="2" t="str">
        <f t="shared" si="3"/>
        <v>Product_42</v>
      </c>
      <c r="E43" s="2">
        <f t="shared" ca="1" si="4"/>
        <v>12584</v>
      </c>
      <c r="F43" s="2">
        <f t="shared" ca="1" si="5"/>
        <v>3</v>
      </c>
      <c r="G43" s="2">
        <f t="shared" ca="1" si="6"/>
        <v>1595</v>
      </c>
      <c r="H43" s="2" t="str">
        <f t="shared" ca="1" si="7"/>
        <v>Out of Stock</v>
      </c>
      <c r="I43" s="2">
        <f t="shared" ca="1" si="8"/>
        <v>10</v>
      </c>
    </row>
    <row r="44" spans="1:9" x14ac:dyDescent="0.25">
      <c r="A44" s="2" t="str">
        <f t="shared" si="0"/>
        <v>P43</v>
      </c>
      <c r="B44" s="2" t="str">
        <f t="shared" ca="1" si="1"/>
        <v>Flipkart</v>
      </c>
      <c r="C44" s="2" t="str">
        <f t="shared" ca="1" si="2"/>
        <v>Electronics</v>
      </c>
      <c r="D44" s="2" t="str">
        <f t="shared" si="3"/>
        <v>Product_43</v>
      </c>
      <c r="E44" s="2">
        <f t="shared" ca="1" si="4"/>
        <v>41713</v>
      </c>
      <c r="F44" s="2">
        <f t="shared" ca="1" si="5"/>
        <v>4.4000000000000004</v>
      </c>
      <c r="G44" s="2">
        <f t="shared" ca="1" si="6"/>
        <v>3589</v>
      </c>
      <c r="H44" s="2" t="str">
        <f t="shared" ca="1" si="7"/>
        <v>Out of Stock</v>
      </c>
      <c r="I44" s="2">
        <f t="shared" ca="1" si="8"/>
        <v>38</v>
      </c>
    </row>
    <row r="45" spans="1:9" x14ac:dyDescent="0.25">
      <c r="A45" s="2" t="str">
        <f t="shared" si="0"/>
        <v>P44</v>
      </c>
      <c r="B45" s="2" t="str">
        <f t="shared" ca="1" si="1"/>
        <v>Amazon</v>
      </c>
      <c r="C45" s="2" t="str">
        <f t="shared" ca="1" si="2"/>
        <v>Fashion</v>
      </c>
      <c r="D45" s="2" t="str">
        <f t="shared" si="3"/>
        <v>Product_44</v>
      </c>
      <c r="E45" s="2">
        <f t="shared" ca="1" si="4"/>
        <v>24707</v>
      </c>
      <c r="F45" s="2">
        <f t="shared" ca="1" si="5"/>
        <v>4.2</v>
      </c>
      <c r="G45" s="2">
        <f t="shared" ca="1" si="6"/>
        <v>3017</v>
      </c>
      <c r="H45" s="2" t="str">
        <f t="shared" ca="1" si="7"/>
        <v>In Stock</v>
      </c>
      <c r="I45" s="2">
        <f t="shared" ca="1" si="8"/>
        <v>16</v>
      </c>
    </row>
    <row r="46" spans="1:9" x14ac:dyDescent="0.25">
      <c r="A46" s="2" t="str">
        <f t="shared" si="0"/>
        <v>P45</v>
      </c>
      <c r="B46" s="2" t="str">
        <f t="shared" ca="1" si="1"/>
        <v>Flipkart</v>
      </c>
      <c r="C46" s="2" t="str">
        <f t="shared" ca="1" si="2"/>
        <v>Home &amp; Kitchen</v>
      </c>
      <c r="D46" s="2" t="str">
        <f t="shared" si="3"/>
        <v>Product_45</v>
      </c>
      <c r="E46" s="2">
        <f t="shared" ca="1" si="4"/>
        <v>19137</v>
      </c>
      <c r="F46" s="2">
        <f t="shared" ca="1" si="5"/>
        <v>3.5</v>
      </c>
      <c r="G46" s="2">
        <f t="shared" ca="1" si="6"/>
        <v>538</v>
      </c>
      <c r="H46" s="2" t="str">
        <f t="shared" ca="1" si="7"/>
        <v>Out of Stock</v>
      </c>
      <c r="I46" s="2">
        <f t="shared" ca="1" si="8"/>
        <v>14</v>
      </c>
    </row>
    <row r="47" spans="1:9" x14ac:dyDescent="0.25">
      <c r="A47" s="2" t="str">
        <f t="shared" si="0"/>
        <v>P46</v>
      </c>
      <c r="B47" s="2" t="str">
        <f t="shared" ca="1" si="1"/>
        <v>Flipkart</v>
      </c>
      <c r="C47" s="2" t="str">
        <f t="shared" ca="1" si="2"/>
        <v>Home &amp; Kitchen</v>
      </c>
      <c r="D47" s="2" t="str">
        <f t="shared" si="3"/>
        <v>Product_46</v>
      </c>
      <c r="E47" s="2">
        <f t="shared" ca="1" si="4"/>
        <v>37941</v>
      </c>
      <c r="F47" s="2">
        <f t="shared" ca="1" si="5"/>
        <v>2.6</v>
      </c>
      <c r="G47" s="2">
        <f t="shared" ca="1" si="6"/>
        <v>4837</v>
      </c>
      <c r="H47" s="2" t="str">
        <f t="shared" ca="1" si="7"/>
        <v>In Stock</v>
      </c>
      <c r="I47" s="2">
        <f t="shared" ca="1" si="8"/>
        <v>35</v>
      </c>
    </row>
    <row r="48" spans="1:9" x14ac:dyDescent="0.25">
      <c r="A48" s="2" t="str">
        <f t="shared" si="0"/>
        <v>P47</v>
      </c>
      <c r="B48" s="2" t="str">
        <f t="shared" ca="1" si="1"/>
        <v>Amazon</v>
      </c>
      <c r="C48" s="2" t="str">
        <f t="shared" ca="1" si="2"/>
        <v>Sports</v>
      </c>
      <c r="D48" s="2" t="str">
        <f t="shared" si="3"/>
        <v>Product_47</v>
      </c>
      <c r="E48" s="2">
        <f t="shared" ca="1" si="4"/>
        <v>37766</v>
      </c>
      <c r="F48" s="2">
        <f t="shared" ca="1" si="5"/>
        <v>4.5999999999999996</v>
      </c>
      <c r="G48" s="2">
        <f t="shared" ca="1" si="6"/>
        <v>3768</v>
      </c>
      <c r="H48" s="2" t="str">
        <f t="shared" ca="1" si="7"/>
        <v>In Stock</v>
      </c>
      <c r="I48" s="2">
        <f t="shared" ca="1" si="8"/>
        <v>16</v>
      </c>
    </row>
    <row r="49" spans="1:9" x14ac:dyDescent="0.25">
      <c r="A49" s="2" t="str">
        <f t="shared" si="0"/>
        <v>P48</v>
      </c>
      <c r="B49" s="2" t="str">
        <f t="shared" ca="1" si="1"/>
        <v>Amazon</v>
      </c>
      <c r="C49" s="2" t="str">
        <f t="shared" ca="1" si="2"/>
        <v>Electronics</v>
      </c>
      <c r="D49" s="2" t="str">
        <f t="shared" si="3"/>
        <v>Product_48</v>
      </c>
      <c r="E49" s="2">
        <f t="shared" ca="1" si="4"/>
        <v>10290</v>
      </c>
      <c r="F49" s="2">
        <f t="shared" ca="1" si="5"/>
        <v>2.8</v>
      </c>
      <c r="G49" s="2">
        <f t="shared" ca="1" si="6"/>
        <v>834</v>
      </c>
      <c r="H49" s="2" t="str">
        <f t="shared" ca="1" si="7"/>
        <v>In Stock</v>
      </c>
      <c r="I49" s="2">
        <f t="shared" ca="1" si="8"/>
        <v>18</v>
      </c>
    </row>
    <row r="50" spans="1:9" x14ac:dyDescent="0.25">
      <c r="A50" s="2" t="str">
        <f t="shared" si="0"/>
        <v>P49</v>
      </c>
      <c r="B50" s="2" t="str">
        <f t="shared" ca="1" si="1"/>
        <v>Flipkart</v>
      </c>
      <c r="C50" s="2" t="str">
        <f t="shared" ca="1" si="2"/>
        <v>Electronics</v>
      </c>
      <c r="D50" s="2" t="str">
        <f t="shared" si="3"/>
        <v>Product_49</v>
      </c>
      <c r="E50" s="2">
        <f t="shared" ca="1" si="4"/>
        <v>53139</v>
      </c>
      <c r="F50" s="2">
        <f t="shared" ca="1" si="5"/>
        <v>3.9</v>
      </c>
      <c r="G50" s="2">
        <f t="shared" ca="1" si="6"/>
        <v>1013</v>
      </c>
      <c r="H50" s="2" t="str">
        <f t="shared" ca="1" si="7"/>
        <v>In Stock</v>
      </c>
      <c r="I50" s="2">
        <f t="shared" ca="1" si="8"/>
        <v>54</v>
      </c>
    </row>
    <row r="51" spans="1:9" x14ac:dyDescent="0.25">
      <c r="A51" s="2" t="str">
        <f t="shared" si="0"/>
        <v>P50</v>
      </c>
      <c r="B51" s="2" t="str">
        <f t="shared" ca="1" si="1"/>
        <v>Amazon</v>
      </c>
      <c r="C51" s="2" t="str">
        <f t="shared" ca="1" si="2"/>
        <v>Home &amp; Kitchen</v>
      </c>
      <c r="D51" s="2" t="str">
        <f t="shared" si="3"/>
        <v>Product_50</v>
      </c>
      <c r="E51" s="2">
        <f t="shared" ca="1" si="4"/>
        <v>72267</v>
      </c>
      <c r="F51" s="2">
        <f t="shared" ca="1" si="5"/>
        <v>4.3</v>
      </c>
      <c r="G51" s="2">
        <f t="shared" ca="1" si="6"/>
        <v>564</v>
      </c>
      <c r="H51" s="2" t="str">
        <f t="shared" ca="1" si="7"/>
        <v>In Stock</v>
      </c>
      <c r="I51" s="2">
        <f t="shared" ca="1" si="8"/>
        <v>47</v>
      </c>
    </row>
    <row r="52" spans="1:9" x14ac:dyDescent="0.25">
      <c r="A52" s="2" t="str">
        <f t="shared" si="0"/>
        <v>P51</v>
      </c>
      <c r="B52" s="2" t="str">
        <f t="shared" ca="1" si="1"/>
        <v>Flipkart</v>
      </c>
      <c r="C52" s="2" t="str">
        <f t="shared" ca="1" si="2"/>
        <v>Electronics</v>
      </c>
      <c r="D52" s="2" t="str">
        <f t="shared" si="3"/>
        <v>Product_51</v>
      </c>
      <c r="E52" s="2">
        <f t="shared" ca="1" si="4"/>
        <v>51673</v>
      </c>
      <c r="F52" s="2">
        <f t="shared" ca="1" si="5"/>
        <v>3.1</v>
      </c>
      <c r="G52" s="2">
        <f t="shared" ca="1" si="6"/>
        <v>2002</v>
      </c>
      <c r="H52" s="2" t="str">
        <f t="shared" ca="1" si="7"/>
        <v>In Stock</v>
      </c>
      <c r="I52" s="2">
        <f t="shared" ca="1" si="8"/>
        <v>23</v>
      </c>
    </row>
    <row r="53" spans="1:9" x14ac:dyDescent="0.25">
      <c r="A53" s="2" t="str">
        <f t="shared" si="0"/>
        <v>P52</v>
      </c>
      <c r="B53" s="2" t="str">
        <f t="shared" ca="1" si="1"/>
        <v>Amazon</v>
      </c>
      <c r="C53" s="2" t="str">
        <f t="shared" ca="1" si="2"/>
        <v>Beauty</v>
      </c>
      <c r="D53" s="2" t="str">
        <f t="shared" si="3"/>
        <v>Product_52</v>
      </c>
      <c r="E53" s="2">
        <f t="shared" ca="1" si="4"/>
        <v>31245</v>
      </c>
      <c r="F53" s="2">
        <f t="shared" ca="1" si="5"/>
        <v>3.3</v>
      </c>
      <c r="G53" s="2">
        <f t="shared" ca="1" si="6"/>
        <v>4925</v>
      </c>
      <c r="H53" s="2" t="str">
        <f t="shared" ca="1" si="7"/>
        <v>In Stock</v>
      </c>
      <c r="I53" s="2">
        <f t="shared" ca="1" si="8"/>
        <v>54</v>
      </c>
    </row>
    <row r="54" spans="1:9" x14ac:dyDescent="0.25">
      <c r="A54" s="2" t="str">
        <f t="shared" si="0"/>
        <v>P53</v>
      </c>
      <c r="B54" s="2" t="str">
        <f t="shared" ca="1" si="1"/>
        <v>Flipkart</v>
      </c>
      <c r="C54" s="2" t="str">
        <f t="shared" ca="1" si="2"/>
        <v>Beauty</v>
      </c>
      <c r="D54" s="2" t="str">
        <f t="shared" si="3"/>
        <v>Product_53</v>
      </c>
      <c r="E54" s="2">
        <f t="shared" ca="1" si="4"/>
        <v>73791</v>
      </c>
      <c r="F54" s="2">
        <f t="shared" ca="1" si="5"/>
        <v>3.2</v>
      </c>
      <c r="G54" s="2">
        <f t="shared" ca="1" si="6"/>
        <v>243</v>
      </c>
      <c r="H54" s="2" t="str">
        <f t="shared" ca="1" si="7"/>
        <v>In Stock</v>
      </c>
      <c r="I54" s="2">
        <f t="shared" ca="1" si="8"/>
        <v>34</v>
      </c>
    </row>
    <row r="55" spans="1:9" x14ac:dyDescent="0.25">
      <c r="A55" s="2" t="str">
        <f t="shared" si="0"/>
        <v>P54</v>
      </c>
      <c r="B55" s="2" t="str">
        <f t="shared" ca="1" si="1"/>
        <v>Amazon</v>
      </c>
      <c r="C55" s="2" t="str">
        <f t="shared" ca="1" si="2"/>
        <v>Beauty</v>
      </c>
      <c r="D55" s="2" t="str">
        <f t="shared" si="3"/>
        <v>Product_54</v>
      </c>
      <c r="E55" s="2">
        <f t="shared" ca="1" si="4"/>
        <v>47794</v>
      </c>
      <c r="F55" s="2">
        <f t="shared" ca="1" si="5"/>
        <v>4.0999999999999996</v>
      </c>
      <c r="G55" s="2">
        <f t="shared" ca="1" si="6"/>
        <v>3275</v>
      </c>
      <c r="H55" s="2" t="str">
        <f t="shared" ca="1" si="7"/>
        <v>In Stock</v>
      </c>
      <c r="I55" s="2">
        <f t="shared" ca="1" si="8"/>
        <v>9</v>
      </c>
    </row>
    <row r="56" spans="1:9" x14ac:dyDescent="0.25">
      <c r="A56" s="2" t="str">
        <f t="shared" si="0"/>
        <v>P55</v>
      </c>
      <c r="B56" s="2" t="str">
        <f t="shared" ca="1" si="1"/>
        <v>Amazon</v>
      </c>
      <c r="C56" s="2" t="str">
        <f t="shared" ca="1" si="2"/>
        <v>Electronics</v>
      </c>
      <c r="D56" s="2" t="str">
        <f t="shared" si="3"/>
        <v>Product_55</v>
      </c>
      <c r="E56" s="2">
        <f t="shared" ca="1" si="4"/>
        <v>65248</v>
      </c>
      <c r="F56" s="2">
        <f t="shared" ca="1" si="5"/>
        <v>3.2</v>
      </c>
      <c r="G56" s="2">
        <f t="shared" ca="1" si="6"/>
        <v>1326</v>
      </c>
      <c r="H56" s="2" t="str">
        <f t="shared" ca="1" si="7"/>
        <v>In Stock</v>
      </c>
      <c r="I56" s="2">
        <f t="shared" ca="1" si="8"/>
        <v>44</v>
      </c>
    </row>
    <row r="57" spans="1:9" x14ac:dyDescent="0.25">
      <c r="A57" s="2" t="str">
        <f t="shared" si="0"/>
        <v>P56</v>
      </c>
      <c r="B57" s="2" t="str">
        <f t="shared" ca="1" si="1"/>
        <v>Flipkart</v>
      </c>
      <c r="C57" s="2" t="str">
        <f t="shared" ca="1" si="2"/>
        <v>Electronics</v>
      </c>
      <c r="D57" s="2" t="str">
        <f t="shared" si="3"/>
        <v>Product_56</v>
      </c>
      <c r="E57" s="2">
        <f t="shared" ca="1" si="4"/>
        <v>29103</v>
      </c>
      <c r="F57" s="2">
        <f t="shared" ca="1" si="5"/>
        <v>3.4</v>
      </c>
      <c r="G57" s="2">
        <f t="shared" ca="1" si="6"/>
        <v>3258</v>
      </c>
      <c r="H57" s="2" t="str">
        <f t="shared" ca="1" si="7"/>
        <v>In Stock</v>
      </c>
      <c r="I57" s="2">
        <f t="shared" ca="1" si="8"/>
        <v>60</v>
      </c>
    </row>
    <row r="58" spans="1:9" x14ac:dyDescent="0.25">
      <c r="A58" s="2" t="str">
        <f t="shared" si="0"/>
        <v>P57</v>
      </c>
      <c r="B58" s="2" t="str">
        <f t="shared" ca="1" si="1"/>
        <v>Flipkart</v>
      </c>
      <c r="C58" s="2" t="str">
        <f t="shared" ca="1" si="2"/>
        <v>Home &amp; Kitchen</v>
      </c>
      <c r="D58" s="2" t="str">
        <f t="shared" si="3"/>
        <v>Product_57</v>
      </c>
      <c r="E58" s="2">
        <f t="shared" ca="1" si="4"/>
        <v>66206</v>
      </c>
      <c r="F58" s="2">
        <f t="shared" ca="1" si="5"/>
        <v>4.7</v>
      </c>
      <c r="G58" s="2">
        <f t="shared" ca="1" si="6"/>
        <v>3382</v>
      </c>
      <c r="H58" s="2" t="str">
        <f t="shared" ca="1" si="7"/>
        <v>In Stock</v>
      </c>
      <c r="I58" s="2">
        <f t="shared" ca="1" si="8"/>
        <v>50</v>
      </c>
    </row>
    <row r="59" spans="1:9" x14ac:dyDescent="0.25">
      <c r="A59" s="2" t="str">
        <f t="shared" si="0"/>
        <v>P58</v>
      </c>
      <c r="B59" s="2" t="str">
        <f t="shared" ca="1" si="1"/>
        <v>Amazon</v>
      </c>
      <c r="C59" s="2" t="str">
        <f t="shared" ca="1" si="2"/>
        <v>Fashion</v>
      </c>
      <c r="D59" s="2" t="str">
        <f t="shared" si="3"/>
        <v>Product_58</v>
      </c>
      <c r="E59" s="2">
        <f t="shared" ca="1" si="4"/>
        <v>44698</v>
      </c>
      <c r="F59" s="2">
        <f t="shared" ca="1" si="5"/>
        <v>4.7</v>
      </c>
      <c r="G59" s="2">
        <f t="shared" ca="1" si="6"/>
        <v>409</v>
      </c>
      <c r="H59" s="2" t="str">
        <f t="shared" ca="1" si="7"/>
        <v>In Stock</v>
      </c>
      <c r="I59" s="2">
        <f t="shared" ca="1" si="8"/>
        <v>60</v>
      </c>
    </row>
    <row r="60" spans="1:9" x14ac:dyDescent="0.25">
      <c r="A60" s="2" t="str">
        <f t="shared" si="0"/>
        <v>P59</v>
      </c>
      <c r="B60" s="2" t="str">
        <f t="shared" ca="1" si="1"/>
        <v>Amazon</v>
      </c>
      <c r="C60" s="2" t="str">
        <f t="shared" ca="1" si="2"/>
        <v>Beauty</v>
      </c>
      <c r="D60" s="2" t="str">
        <f t="shared" si="3"/>
        <v>Product_59</v>
      </c>
      <c r="E60" s="2">
        <f t="shared" ca="1" si="4"/>
        <v>57090</v>
      </c>
      <c r="F60" s="2">
        <f t="shared" ca="1" si="5"/>
        <v>4.2</v>
      </c>
      <c r="G60" s="2">
        <f t="shared" ca="1" si="6"/>
        <v>2937</v>
      </c>
      <c r="H60" s="2" t="str">
        <f t="shared" ca="1" si="7"/>
        <v>In Stock</v>
      </c>
      <c r="I60" s="2">
        <f t="shared" ca="1" si="8"/>
        <v>59</v>
      </c>
    </row>
    <row r="61" spans="1:9" x14ac:dyDescent="0.25">
      <c r="A61" s="2" t="str">
        <f t="shared" si="0"/>
        <v>P60</v>
      </c>
      <c r="B61" s="2" t="str">
        <f t="shared" ca="1" si="1"/>
        <v>Amazon</v>
      </c>
      <c r="C61" s="2" t="str">
        <f t="shared" ca="1" si="2"/>
        <v>Fashion</v>
      </c>
      <c r="D61" s="2" t="str">
        <f t="shared" si="3"/>
        <v>Product_60</v>
      </c>
      <c r="E61" s="2">
        <f t="shared" ca="1" si="4"/>
        <v>36950</v>
      </c>
      <c r="F61" s="2">
        <f t="shared" ca="1" si="5"/>
        <v>4.4000000000000004</v>
      </c>
      <c r="G61" s="2">
        <f t="shared" ca="1" si="6"/>
        <v>2718</v>
      </c>
      <c r="H61" s="2" t="str">
        <f t="shared" ca="1" si="7"/>
        <v>In Stock</v>
      </c>
      <c r="I61" s="2">
        <f t="shared" ca="1" si="8"/>
        <v>60</v>
      </c>
    </row>
    <row r="62" spans="1:9" x14ac:dyDescent="0.25">
      <c r="A62" s="2" t="str">
        <f t="shared" si="0"/>
        <v>P61</v>
      </c>
      <c r="B62" s="2" t="str">
        <f t="shared" ca="1" si="1"/>
        <v>Amazon</v>
      </c>
      <c r="C62" s="2" t="str">
        <f t="shared" ca="1" si="2"/>
        <v>Beauty</v>
      </c>
      <c r="D62" s="2" t="str">
        <f t="shared" si="3"/>
        <v>Product_61</v>
      </c>
      <c r="E62" s="2">
        <f t="shared" ca="1" si="4"/>
        <v>65299</v>
      </c>
      <c r="F62" s="2">
        <f t="shared" ca="1" si="5"/>
        <v>2.8</v>
      </c>
      <c r="G62" s="2">
        <f t="shared" ca="1" si="6"/>
        <v>1208</v>
      </c>
      <c r="H62" s="2" t="str">
        <f t="shared" ca="1" si="7"/>
        <v>In Stock</v>
      </c>
      <c r="I62" s="2">
        <f t="shared" ca="1" si="8"/>
        <v>36</v>
      </c>
    </row>
    <row r="63" spans="1:9" x14ac:dyDescent="0.25">
      <c r="A63" s="2" t="str">
        <f t="shared" si="0"/>
        <v>P62</v>
      </c>
      <c r="B63" s="2" t="str">
        <f t="shared" ca="1" si="1"/>
        <v>Flipkart</v>
      </c>
      <c r="C63" s="2" t="str">
        <f t="shared" ca="1" si="2"/>
        <v>Fashion</v>
      </c>
      <c r="D63" s="2" t="str">
        <f t="shared" si="3"/>
        <v>Product_62</v>
      </c>
      <c r="E63" s="2">
        <f t="shared" ca="1" si="4"/>
        <v>2598</v>
      </c>
      <c r="F63" s="2">
        <f t="shared" ca="1" si="5"/>
        <v>4</v>
      </c>
      <c r="G63" s="2">
        <f t="shared" ca="1" si="6"/>
        <v>4257</v>
      </c>
      <c r="H63" s="2" t="str">
        <f t="shared" ca="1" si="7"/>
        <v>In Stock</v>
      </c>
      <c r="I63" s="2">
        <f t="shared" ca="1" si="8"/>
        <v>60</v>
      </c>
    </row>
    <row r="64" spans="1:9" x14ac:dyDescent="0.25">
      <c r="A64" s="2" t="str">
        <f t="shared" si="0"/>
        <v>P63</v>
      </c>
      <c r="B64" s="2" t="str">
        <f t="shared" ca="1" si="1"/>
        <v>Amazon</v>
      </c>
      <c r="C64" s="2" t="str">
        <f t="shared" ca="1" si="2"/>
        <v>Home &amp; Kitchen</v>
      </c>
      <c r="D64" s="2" t="str">
        <f t="shared" si="3"/>
        <v>Product_63</v>
      </c>
      <c r="E64" s="2">
        <f t="shared" ca="1" si="4"/>
        <v>37295</v>
      </c>
      <c r="F64" s="2">
        <f t="shared" ca="1" si="5"/>
        <v>4.9000000000000004</v>
      </c>
      <c r="G64" s="2">
        <f t="shared" ca="1" si="6"/>
        <v>661</v>
      </c>
      <c r="H64" s="2" t="str">
        <f t="shared" ca="1" si="7"/>
        <v>In Stock</v>
      </c>
      <c r="I64" s="2">
        <f t="shared" ca="1" si="8"/>
        <v>60</v>
      </c>
    </row>
    <row r="65" spans="1:9" x14ac:dyDescent="0.25">
      <c r="A65" s="2" t="str">
        <f t="shared" si="0"/>
        <v>P64</v>
      </c>
      <c r="B65" s="2" t="str">
        <f t="shared" ca="1" si="1"/>
        <v>Flipkart</v>
      </c>
      <c r="C65" s="2" t="str">
        <f t="shared" ca="1" si="2"/>
        <v>Sports</v>
      </c>
      <c r="D65" s="2" t="str">
        <f t="shared" si="3"/>
        <v>Product_64</v>
      </c>
      <c r="E65" s="2">
        <f t="shared" ca="1" si="4"/>
        <v>66548</v>
      </c>
      <c r="F65" s="2">
        <f t="shared" ca="1" si="5"/>
        <v>4.4000000000000004</v>
      </c>
      <c r="G65" s="2">
        <f t="shared" ca="1" si="6"/>
        <v>1719</v>
      </c>
      <c r="H65" s="2" t="str">
        <f t="shared" ca="1" si="7"/>
        <v>In Stock</v>
      </c>
      <c r="I65" s="2">
        <f t="shared" ca="1" si="8"/>
        <v>47</v>
      </c>
    </row>
    <row r="66" spans="1:9" x14ac:dyDescent="0.25">
      <c r="A66" s="2" t="str">
        <f t="shared" si="0"/>
        <v>P65</v>
      </c>
      <c r="B66" s="2" t="str">
        <f t="shared" ca="1" si="1"/>
        <v>Flipkart</v>
      </c>
      <c r="C66" s="2" t="str">
        <f t="shared" ca="1" si="2"/>
        <v>Home &amp; Kitchen</v>
      </c>
      <c r="D66" s="2" t="str">
        <f t="shared" si="3"/>
        <v>Product_65</v>
      </c>
      <c r="E66" s="2">
        <f t="shared" ca="1" si="4"/>
        <v>1815</v>
      </c>
      <c r="F66" s="2">
        <f t="shared" ca="1" si="5"/>
        <v>2.9</v>
      </c>
      <c r="G66" s="2">
        <f t="shared" ca="1" si="6"/>
        <v>4737</v>
      </c>
      <c r="H66" s="2" t="str">
        <f t="shared" ca="1" si="7"/>
        <v>In Stock</v>
      </c>
      <c r="I66" s="2">
        <f t="shared" ca="1" si="8"/>
        <v>42</v>
      </c>
    </row>
    <row r="67" spans="1:9" x14ac:dyDescent="0.25">
      <c r="A67" s="2" t="str">
        <f t="shared" ref="A67:A130" si="9">"P"&amp;ROW()-1</f>
        <v>P66</v>
      </c>
      <c r="B67" s="2" t="str">
        <f t="shared" ref="B67:B130" ca="1" si="10">IF(RAND()&lt;0.5,"Amazon","Flipkart")</f>
        <v>Amazon</v>
      </c>
      <c r="C67" s="2" t="str">
        <f t="shared" ref="C67:C130" ca="1" si="11">CHOOSE(RANDBETWEEN(1,5),"Electronics","Fashion","Home &amp; Kitchen","Beauty","Sports")</f>
        <v>Electronics</v>
      </c>
      <c r="D67" s="2" t="str">
        <f t="shared" ref="D67:D130" si="12">"Product_"&amp;ROW()-1</f>
        <v>Product_66</v>
      </c>
      <c r="E67" s="2">
        <f t="shared" ref="E67:E130" ca="1" si="13">RANDBETWEEN(100,80000)</f>
        <v>22012</v>
      </c>
      <c r="F67" s="2">
        <f t="shared" ref="F67:F130" ca="1" si="14">ROUND(RAND()*2.5+2.5,1)</f>
        <v>4</v>
      </c>
      <c r="G67" s="2">
        <f t="shared" ref="G67:G130" ca="1" si="15">RANDBETWEEN(10,5000)</f>
        <v>791</v>
      </c>
      <c r="H67" s="2" t="str">
        <f t="shared" ref="H67:H130" ca="1" si="16">IF(RAND()&lt;0.8,"In Stock","Out of Stock")</f>
        <v>In Stock</v>
      </c>
      <c r="I67" s="2">
        <f t="shared" ref="I67:I130" ca="1" si="17">RANDBETWEEN(5,60)</f>
        <v>36</v>
      </c>
    </row>
    <row r="68" spans="1:9" x14ac:dyDescent="0.25">
      <c r="A68" s="2" t="str">
        <f t="shared" si="9"/>
        <v>P67</v>
      </c>
      <c r="B68" s="2" t="str">
        <f t="shared" ca="1" si="10"/>
        <v>Amazon</v>
      </c>
      <c r="C68" s="2" t="str">
        <f t="shared" ca="1" si="11"/>
        <v>Beauty</v>
      </c>
      <c r="D68" s="2" t="str">
        <f t="shared" si="12"/>
        <v>Product_67</v>
      </c>
      <c r="E68" s="2">
        <f t="shared" ca="1" si="13"/>
        <v>28116</v>
      </c>
      <c r="F68" s="2">
        <f t="shared" ca="1" si="14"/>
        <v>3.9</v>
      </c>
      <c r="G68" s="2">
        <f t="shared" ca="1" si="15"/>
        <v>3495</v>
      </c>
      <c r="H68" s="2" t="str">
        <f t="shared" ca="1" si="16"/>
        <v>In Stock</v>
      </c>
      <c r="I68" s="2">
        <f t="shared" ca="1" si="17"/>
        <v>26</v>
      </c>
    </row>
    <row r="69" spans="1:9" x14ac:dyDescent="0.25">
      <c r="A69" s="2" t="str">
        <f t="shared" si="9"/>
        <v>P68</v>
      </c>
      <c r="B69" s="2" t="str">
        <f t="shared" ca="1" si="10"/>
        <v>Flipkart</v>
      </c>
      <c r="C69" s="2" t="str">
        <f t="shared" ca="1" si="11"/>
        <v>Fashion</v>
      </c>
      <c r="D69" s="2" t="str">
        <f t="shared" si="12"/>
        <v>Product_68</v>
      </c>
      <c r="E69" s="2">
        <f t="shared" ca="1" si="13"/>
        <v>24585</v>
      </c>
      <c r="F69" s="2">
        <f t="shared" ca="1" si="14"/>
        <v>4.5</v>
      </c>
      <c r="G69" s="2">
        <f t="shared" ca="1" si="15"/>
        <v>107</v>
      </c>
      <c r="H69" s="2" t="str">
        <f t="shared" ca="1" si="16"/>
        <v>In Stock</v>
      </c>
      <c r="I69" s="2">
        <f t="shared" ca="1" si="17"/>
        <v>19</v>
      </c>
    </row>
    <row r="70" spans="1:9" x14ac:dyDescent="0.25">
      <c r="A70" s="2" t="str">
        <f t="shared" si="9"/>
        <v>P69</v>
      </c>
      <c r="B70" s="2" t="str">
        <f t="shared" ca="1" si="10"/>
        <v>Flipkart</v>
      </c>
      <c r="C70" s="2" t="str">
        <f t="shared" ca="1" si="11"/>
        <v>Sports</v>
      </c>
      <c r="D70" s="2" t="str">
        <f t="shared" si="12"/>
        <v>Product_69</v>
      </c>
      <c r="E70" s="2">
        <f t="shared" ca="1" si="13"/>
        <v>29648</v>
      </c>
      <c r="F70" s="2">
        <f t="shared" ca="1" si="14"/>
        <v>4.3</v>
      </c>
      <c r="G70" s="2">
        <f t="shared" ca="1" si="15"/>
        <v>2140</v>
      </c>
      <c r="H70" s="2" t="str">
        <f t="shared" ca="1" si="16"/>
        <v>In Stock</v>
      </c>
      <c r="I70" s="2">
        <f t="shared" ca="1" si="17"/>
        <v>7</v>
      </c>
    </row>
    <row r="71" spans="1:9" x14ac:dyDescent="0.25">
      <c r="A71" s="2" t="str">
        <f t="shared" si="9"/>
        <v>P70</v>
      </c>
      <c r="B71" s="2" t="str">
        <f t="shared" ca="1" si="10"/>
        <v>Flipkart</v>
      </c>
      <c r="C71" s="2" t="str">
        <f t="shared" ca="1" si="11"/>
        <v>Fashion</v>
      </c>
      <c r="D71" s="2" t="str">
        <f t="shared" si="12"/>
        <v>Product_70</v>
      </c>
      <c r="E71" s="2">
        <f t="shared" ca="1" si="13"/>
        <v>43621</v>
      </c>
      <c r="F71" s="2">
        <f t="shared" ca="1" si="14"/>
        <v>3</v>
      </c>
      <c r="G71" s="2">
        <f t="shared" ca="1" si="15"/>
        <v>707</v>
      </c>
      <c r="H71" s="2" t="str">
        <f t="shared" ca="1" si="16"/>
        <v>In Stock</v>
      </c>
      <c r="I71" s="2">
        <f t="shared" ca="1" si="17"/>
        <v>25</v>
      </c>
    </row>
    <row r="72" spans="1:9" x14ac:dyDescent="0.25">
      <c r="A72" s="2" t="str">
        <f t="shared" si="9"/>
        <v>P71</v>
      </c>
      <c r="B72" s="2" t="str">
        <f t="shared" ca="1" si="10"/>
        <v>Flipkart</v>
      </c>
      <c r="C72" s="2" t="str">
        <f t="shared" ca="1" si="11"/>
        <v>Beauty</v>
      </c>
      <c r="D72" s="2" t="str">
        <f t="shared" si="12"/>
        <v>Product_71</v>
      </c>
      <c r="E72" s="2">
        <f t="shared" ca="1" si="13"/>
        <v>31521</v>
      </c>
      <c r="F72" s="2">
        <f t="shared" ca="1" si="14"/>
        <v>4</v>
      </c>
      <c r="G72" s="2">
        <f t="shared" ca="1" si="15"/>
        <v>568</v>
      </c>
      <c r="H72" s="2" t="str">
        <f t="shared" ca="1" si="16"/>
        <v>Out of Stock</v>
      </c>
      <c r="I72" s="2">
        <f t="shared" ca="1" si="17"/>
        <v>38</v>
      </c>
    </row>
    <row r="73" spans="1:9" x14ac:dyDescent="0.25">
      <c r="A73" s="2" t="str">
        <f t="shared" si="9"/>
        <v>P72</v>
      </c>
      <c r="B73" s="2" t="str">
        <f t="shared" ca="1" si="10"/>
        <v>Amazon</v>
      </c>
      <c r="C73" s="2" t="str">
        <f t="shared" ca="1" si="11"/>
        <v>Sports</v>
      </c>
      <c r="D73" s="2" t="str">
        <f t="shared" si="12"/>
        <v>Product_72</v>
      </c>
      <c r="E73" s="2">
        <f t="shared" ca="1" si="13"/>
        <v>7021</v>
      </c>
      <c r="F73" s="2">
        <f t="shared" ca="1" si="14"/>
        <v>3.7</v>
      </c>
      <c r="G73" s="2">
        <f t="shared" ca="1" si="15"/>
        <v>4256</v>
      </c>
      <c r="H73" s="2" t="str">
        <f t="shared" ca="1" si="16"/>
        <v>Out of Stock</v>
      </c>
      <c r="I73" s="2">
        <f t="shared" ca="1" si="17"/>
        <v>52</v>
      </c>
    </row>
    <row r="74" spans="1:9" x14ac:dyDescent="0.25">
      <c r="A74" s="2" t="str">
        <f t="shared" si="9"/>
        <v>P73</v>
      </c>
      <c r="B74" s="2" t="str">
        <f t="shared" ca="1" si="10"/>
        <v>Flipkart</v>
      </c>
      <c r="C74" s="2" t="str">
        <f t="shared" ca="1" si="11"/>
        <v>Home &amp; Kitchen</v>
      </c>
      <c r="D74" s="2" t="str">
        <f t="shared" si="12"/>
        <v>Product_73</v>
      </c>
      <c r="E74" s="2">
        <f t="shared" ca="1" si="13"/>
        <v>60168</v>
      </c>
      <c r="F74" s="2">
        <f t="shared" ca="1" si="14"/>
        <v>4.5999999999999996</v>
      </c>
      <c r="G74" s="2">
        <f t="shared" ca="1" si="15"/>
        <v>1862</v>
      </c>
      <c r="H74" s="2" t="str">
        <f t="shared" ca="1" si="16"/>
        <v>In Stock</v>
      </c>
      <c r="I74" s="2">
        <f t="shared" ca="1" si="17"/>
        <v>19</v>
      </c>
    </row>
    <row r="75" spans="1:9" x14ac:dyDescent="0.25">
      <c r="A75" s="2" t="str">
        <f t="shared" si="9"/>
        <v>P74</v>
      </c>
      <c r="B75" s="2" t="str">
        <f t="shared" ca="1" si="10"/>
        <v>Flipkart</v>
      </c>
      <c r="C75" s="2" t="str">
        <f t="shared" ca="1" si="11"/>
        <v>Electronics</v>
      </c>
      <c r="D75" s="2" t="str">
        <f t="shared" si="12"/>
        <v>Product_74</v>
      </c>
      <c r="E75" s="2">
        <f t="shared" ca="1" si="13"/>
        <v>57650</v>
      </c>
      <c r="F75" s="2">
        <f t="shared" ca="1" si="14"/>
        <v>3.5</v>
      </c>
      <c r="G75" s="2">
        <f t="shared" ca="1" si="15"/>
        <v>2642</v>
      </c>
      <c r="H75" s="2" t="str">
        <f t="shared" ca="1" si="16"/>
        <v>In Stock</v>
      </c>
      <c r="I75" s="2">
        <f t="shared" ca="1" si="17"/>
        <v>13</v>
      </c>
    </row>
    <row r="76" spans="1:9" x14ac:dyDescent="0.25">
      <c r="A76" s="2" t="str">
        <f t="shared" si="9"/>
        <v>P75</v>
      </c>
      <c r="B76" s="2" t="str">
        <f t="shared" ca="1" si="10"/>
        <v>Amazon</v>
      </c>
      <c r="C76" s="2" t="str">
        <f t="shared" ca="1" si="11"/>
        <v>Home &amp; Kitchen</v>
      </c>
      <c r="D76" s="2" t="str">
        <f t="shared" si="12"/>
        <v>Product_75</v>
      </c>
      <c r="E76" s="2">
        <f t="shared" ca="1" si="13"/>
        <v>37143</v>
      </c>
      <c r="F76" s="2">
        <f t="shared" ca="1" si="14"/>
        <v>4</v>
      </c>
      <c r="G76" s="2">
        <f t="shared" ca="1" si="15"/>
        <v>264</v>
      </c>
      <c r="H76" s="2" t="str">
        <f t="shared" ca="1" si="16"/>
        <v>In Stock</v>
      </c>
      <c r="I76" s="2">
        <f t="shared" ca="1" si="17"/>
        <v>43</v>
      </c>
    </row>
    <row r="77" spans="1:9" x14ac:dyDescent="0.25">
      <c r="A77" s="2" t="str">
        <f t="shared" si="9"/>
        <v>P76</v>
      </c>
      <c r="B77" s="2" t="str">
        <f t="shared" ca="1" si="10"/>
        <v>Flipkart</v>
      </c>
      <c r="C77" s="2" t="str">
        <f t="shared" ca="1" si="11"/>
        <v>Home &amp; Kitchen</v>
      </c>
      <c r="D77" s="2" t="str">
        <f t="shared" si="12"/>
        <v>Product_76</v>
      </c>
      <c r="E77" s="2">
        <f t="shared" ca="1" si="13"/>
        <v>38509</v>
      </c>
      <c r="F77" s="2">
        <f t="shared" ca="1" si="14"/>
        <v>3.3</v>
      </c>
      <c r="G77" s="2">
        <f t="shared" ca="1" si="15"/>
        <v>2290</v>
      </c>
      <c r="H77" s="2" t="str">
        <f t="shared" ca="1" si="16"/>
        <v>In Stock</v>
      </c>
      <c r="I77" s="2">
        <f t="shared" ca="1" si="17"/>
        <v>54</v>
      </c>
    </row>
    <row r="78" spans="1:9" x14ac:dyDescent="0.25">
      <c r="A78" s="2" t="str">
        <f t="shared" si="9"/>
        <v>P77</v>
      </c>
      <c r="B78" s="2" t="str">
        <f t="shared" ca="1" si="10"/>
        <v>Amazon</v>
      </c>
      <c r="C78" s="2" t="str">
        <f t="shared" ca="1" si="11"/>
        <v>Electronics</v>
      </c>
      <c r="D78" s="2" t="str">
        <f t="shared" si="12"/>
        <v>Product_77</v>
      </c>
      <c r="E78" s="2">
        <f t="shared" ca="1" si="13"/>
        <v>53785</v>
      </c>
      <c r="F78" s="2">
        <f t="shared" ca="1" si="14"/>
        <v>5</v>
      </c>
      <c r="G78" s="2">
        <f t="shared" ca="1" si="15"/>
        <v>2309</v>
      </c>
      <c r="H78" s="2" t="str">
        <f t="shared" ca="1" si="16"/>
        <v>In Stock</v>
      </c>
      <c r="I78" s="2">
        <f t="shared" ca="1" si="17"/>
        <v>16</v>
      </c>
    </row>
    <row r="79" spans="1:9" x14ac:dyDescent="0.25">
      <c r="A79" s="2" t="str">
        <f t="shared" si="9"/>
        <v>P78</v>
      </c>
      <c r="B79" s="2" t="str">
        <f t="shared" ca="1" si="10"/>
        <v>Amazon</v>
      </c>
      <c r="C79" s="2" t="str">
        <f t="shared" ca="1" si="11"/>
        <v>Sports</v>
      </c>
      <c r="D79" s="2" t="str">
        <f t="shared" si="12"/>
        <v>Product_78</v>
      </c>
      <c r="E79" s="2">
        <f t="shared" ca="1" si="13"/>
        <v>27471</v>
      </c>
      <c r="F79" s="2">
        <f t="shared" ca="1" si="14"/>
        <v>3.8</v>
      </c>
      <c r="G79" s="2">
        <f t="shared" ca="1" si="15"/>
        <v>3193</v>
      </c>
      <c r="H79" s="2" t="str">
        <f t="shared" ca="1" si="16"/>
        <v>In Stock</v>
      </c>
      <c r="I79" s="2">
        <f t="shared" ca="1" si="17"/>
        <v>36</v>
      </c>
    </row>
    <row r="80" spans="1:9" x14ac:dyDescent="0.25">
      <c r="A80" s="2" t="str">
        <f t="shared" si="9"/>
        <v>P79</v>
      </c>
      <c r="B80" s="2" t="str">
        <f t="shared" ca="1" si="10"/>
        <v>Amazon</v>
      </c>
      <c r="C80" s="2" t="str">
        <f t="shared" ca="1" si="11"/>
        <v>Beauty</v>
      </c>
      <c r="D80" s="2" t="str">
        <f t="shared" si="12"/>
        <v>Product_79</v>
      </c>
      <c r="E80" s="2">
        <f t="shared" ca="1" si="13"/>
        <v>112</v>
      </c>
      <c r="F80" s="2">
        <f t="shared" ca="1" si="14"/>
        <v>2.9</v>
      </c>
      <c r="G80" s="2">
        <f t="shared" ca="1" si="15"/>
        <v>1922</v>
      </c>
      <c r="H80" s="2" t="str">
        <f t="shared" ca="1" si="16"/>
        <v>Out of Stock</v>
      </c>
      <c r="I80" s="2">
        <f t="shared" ca="1" si="17"/>
        <v>41</v>
      </c>
    </row>
    <row r="81" spans="1:9" x14ac:dyDescent="0.25">
      <c r="A81" s="2" t="str">
        <f t="shared" si="9"/>
        <v>P80</v>
      </c>
      <c r="B81" s="2" t="str">
        <f t="shared" ca="1" si="10"/>
        <v>Flipkart</v>
      </c>
      <c r="C81" s="2" t="str">
        <f t="shared" ca="1" si="11"/>
        <v>Electronics</v>
      </c>
      <c r="D81" s="2" t="str">
        <f t="shared" si="12"/>
        <v>Product_80</v>
      </c>
      <c r="E81" s="2">
        <f t="shared" ca="1" si="13"/>
        <v>11572</v>
      </c>
      <c r="F81" s="2">
        <f t="shared" ca="1" si="14"/>
        <v>4.3</v>
      </c>
      <c r="G81" s="2">
        <f t="shared" ca="1" si="15"/>
        <v>2186</v>
      </c>
      <c r="H81" s="2" t="str">
        <f t="shared" ca="1" si="16"/>
        <v>Out of Stock</v>
      </c>
      <c r="I81" s="2">
        <f t="shared" ca="1" si="17"/>
        <v>38</v>
      </c>
    </row>
    <row r="82" spans="1:9" x14ac:dyDescent="0.25">
      <c r="A82" s="2" t="str">
        <f t="shared" si="9"/>
        <v>P81</v>
      </c>
      <c r="B82" s="2" t="str">
        <f t="shared" ca="1" si="10"/>
        <v>Flipkart</v>
      </c>
      <c r="C82" s="2" t="str">
        <f t="shared" ca="1" si="11"/>
        <v>Beauty</v>
      </c>
      <c r="D82" s="2" t="str">
        <f t="shared" si="12"/>
        <v>Product_81</v>
      </c>
      <c r="E82" s="2">
        <f t="shared" ca="1" si="13"/>
        <v>77341</v>
      </c>
      <c r="F82" s="2">
        <f t="shared" ca="1" si="14"/>
        <v>4.0999999999999996</v>
      </c>
      <c r="G82" s="2">
        <f t="shared" ca="1" si="15"/>
        <v>3687</v>
      </c>
      <c r="H82" s="2" t="str">
        <f t="shared" ca="1" si="16"/>
        <v>In Stock</v>
      </c>
      <c r="I82" s="2">
        <f t="shared" ca="1" si="17"/>
        <v>19</v>
      </c>
    </row>
    <row r="83" spans="1:9" x14ac:dyDescent="0.25">
      <c r="A83" s="2" t="str">
        <f t="shared" si="9"/>
        <v>P82</v>
      </c>
      <c r="B83" s="2" t="str">
        <f t="shared" ca="1" si="10"/>
        <v>Amazon</v>
      </c>
      <c r="C83" s="2" t="str">
        <f t="shared" ca="1" si="11"/>
        <v>Fashion</v>
      </c>
      <c r="D83" s="2" t="str">
        <f t="shared" si="12"/>
        <v>Product_82</v>
      </c>
      <c r="E83" s="2">
        <f t="shared" ca="1" si="13"/>
        <v>40952</v>
      </c>
      <c r="F83" s="2">
        <f t="shared" ca="1" si="14"/>
        <v>4.7</v>
      </c>
      <c r="G83" s="2">
        <f t="shared" ca="1" si="15"/>
        <v>3302</v>
      </c>
      <c r="H83" s="2" t="str">
        <f t="shared" ca="1" si="16"/>
        <v>In Stock</v>
      </c>
      <c r="I83" s="2">
        <f t="shared" ca="1" si="17"/>
        <v>50</v>
      </c>
    </row>
    <row r="84" spans="1:9" x14ac:dyDescent="0.25">
      <c r="A84" s="2" t="str">
        <f t="shared" si="9"/>
        <v>P83</v>
      </c>
      <c r="B84" s="2" t="str">
        <f t="shared" ca="1" si="10"/>
        <v>Amazon</v>
      </c>
      <c r="C84" s="2" t="str">
        <f t="shared" ca="1" si="11"/>
        <v>Electronics</v>
      </c>
      <c r="D84" s="2" t="str">
        <f t="shared" si="12"/>
        <v>Product_83</v>
      </c>
      <c r="E84" s="2">
        <f t="shared" ca="1" si="13"/>
        <v>58101</v>
      </c>
      <c r="F84" s="2">
        <f t="shared" ca="1" si="14"/>
        <v>4.4000000000000004</v>
      </c>
      <c r="G84" s="2">
        <f t="shared" ca="1" si="15"/>
        <v>2532</v>
      </c>
      <c r="H84" s="2" t="str">
        <f t="shared" ca="1" si="16"/>
        <v>Out of Stock</v>
      </c>
      <c r="I84" s="2">
        <f t="shared" ca="1" si="17"/>
        <v>56</v>
      </c>
    </row>
    <row r="85" spans="1:9" x14ac:dyDescent="0.25">
      <c r="A85" s="2" t="str">
        <f t="shared" si="9"/>
        <v>P84</v>
      </c>
      <c r="B85" s="2" t="str">
        <f t="shared" ca="1" si="10"/>
        <v>Flipkart</v>
      </c>
      <c r="C85" s="2" t="str">
        <f t="shared" ca="1" si="11"/>
        <v>Electronics</v>
      </c>
      <c r="D85" s="2" t="str">
        <f t="shared" si="12"/>
        <v>Product_84</v>
      </c>
      <c r="E85" s="2">
        <f t="shared" ca="1" si="13"/>
        <v>75781</v>
      </c>
      <c r="F85" s="2">
        <f t="shared" ca="1" si="14"/>
        <v>2.9</v>
      </c>
      <c r="G85" s="2">
        <f t="shared" ca="1" si="15"/>
        <v>1744</v>
      </c>
      <c r="H85" s="2" t="str">
        <f t="shared" ca="1" si="16"/>
        <v>In Stock</v>
      </c>
      <c r="I85" s="2">
        <f t="shared" ca="1" si="17"/>
        <v>18</v>
      </c>
    </row>
    <row r="86" spans="1:9" x14ac:dyDescent="0.25">
      <c r="A86" s="2" t="str">
        <f t="shared" si="9"/>
        <v>P85</v>
      </c>
      <c r="B86" s="2" t="str">
        <f t="shared" ca="1" si="10"/>
        <v>Amazon</v>
      </c>
      <c r="C86" s="2" t="str">
        <f t="shared" ca="1" si="11"/>
        <v>Home &amp; Kitchen</v>
      </c>
      <c r="D86" s="2" t="str">
        <f t="shared" si="12"/>
        <v>Product_85</v>
      </c>
      <c r="E86" s="2">
        <f t="shared" ca="1" si="13"/>
        <v>65732</v>
      </c>
      <c r="F86" s="2">
        <f t="shared" ca="1" si="14"/>
        <v>3.7</v>
      </c>
      <c r="G86" s="2">
        <f t="shared" ca="1" si="15"/>
        <v>123</v>
      </c>
      <c r="H86" s="2" t="str">
        <f t="shared" ca="1" si="16"/>
        <v>In Stock</v>
      </c>
      <c r="I86" s="2">
        <f t="shared" ca="1" si="17"/>
        <v>57</v>
      </c>
    </row>
    <row r="87" spans="1:9" x14ac:dyDescent="0.25">
      <c r="A87" s="2" t="str">
        <f t="shared" si="9"/>
        <v>P86</v>
      </c>
      <c r="B87" s="2" t="str">
        <f t="shared" ca="1" si="10"/>
        <v>Amazon</v>
      </c>
      <c r="C87" s="2" t="str">
        <f t="shared" ca="1" si="11"/>
        <v>Beauty</v>
      </c>
      <c r="D87" s="2" t="str">
        <f t="shared" si="12"/>
        <v>Product_86</v>
      </c>
      <c r="E87" s="2">
        <f t="shared" ca="1" si="13"/>
        <v>8887</v>
      </c>
      <c r="F87" s="2">
        <f t="shared" ca="1" si="14"/>
        <v>3</v>
      </c>
      <c r="G87" s="2">
        <f t="shared" ca="1" si="15"/>
        <v>2844</v>
      </c>
      <c r="H87" s="2" t="str">
        <f t="shared" ca="1" si="16"/>
        <v>In Stock</v>
      </c>
      <c r="I87" s="2">
        <f t="shared" ca="1" si="17"/>
        <v>56</v>
      </c>
    </row>
    <row r="88" spans="1:9" x14ac:dyDescent="0.25">
      <c r="A88" s="2" t="str">
        <f t="shared" si="9"/>
        <v>P87</v>
      </c>
      <c r="B88" s="2" t="str">
        <f t="shared" ca="1" si="10"/>
        <v>Amazon</v>
      </c>
      <c r="C88" s="2" t="str">
        <f t="shared" ca="1" si="11"/>
        <v>Fashion</v>
      </c>
      <c r="D88" s="2" t="str">
        <f t="shared" si="12"/>
        <v>Product_87</v>
      </c>
      <c r="E88" s="2">
        <f t="shared" ca="1" si="13"/>
        <v>1469</v>
      </c>
      <c r="F88" s="2">
        <f t="shared" ca="1" si="14"/>
        <v>3.1</v>
      </c>
      <c r="G88" s="2">
        <f t="shared" ca="1" si="15"/>
        <v>3911</v>
      </c>
      <c r="H88" s="2" t="str">
        <f t="shared" ca="1" si="16"/>
        <v>In Stock</v>
      </c>
      <c r="I88" s="2">
        <f t="shared" ca="1" si="17"/>
        <v>17</v>
      </c>
    </row>
    <row r="89" spans="1:9" x14ac:dyDescent="0.25">
      <c r="A89" s="2" t="str">
        <f t="shared" si="9"/>
        <v>P88</v>
      </c>
      <c r="B89" s="2" t="str">
        <f t="shared" ca="1" si="10"/>
        <v>Amazon</v>
      </c>
      <c r="C89" s="2" t="str">
        <f t="shared" ca="1" si="11"/>
        <v>Beauty</v>
      </c>
      <c r="D89" s="2" t="str">
        <f t="shared" si="12"/>
        <v>Product_88</v>
      </c>
      <c r="E89" s="2">
        <f t="shared" ca="1" si="13"/>
        <v>27692</v>
      </c>
      <c r="F89" s="2">
        <f t="shared" ca="1" si="14"/>
        <v>4.9000000000000004</v>
      </c>
      <c r="G89" s="2">
        <f t="shared" ca="1" si="15"/>
        <v>3400</v>
      </c>
      <c r="H89" s="2" t="str">
        <f t="shared" ca="1" si="16"/>
        <v>In Stock</v>
      </c>
      <c r="I89" s="2">
        <f t="shared" ca="1" si="17"/>
        <v>37</v>
      </c>
    </row>
    <row r="90" spans="1:9" x14ac:dyDescent="0.25">
      <c r="A90" s="2" t="str">
        <f t="shared" si="9"/>
        <v>P89</v>
      </c>
      <c r="B90" s="2" t="str">
        <f t="shared" ca="1" si="10"/>
        <v>Flipkart</v>
      </c>
      <c r="C90" s="2" t="str">
        <f t="shared" ca="1" si="11"/>
        <v>Home &amp; Kitchen</v>
      </c>
      <c r="D90" s="2" t="str">
        <f t="shared" si="12"/>
        <v>Product_89</v>
      </c>
      <c r="E90" s="2">
        <f t="shared" ca="1" si="13"/>
        <v>56981</v>
      </c>
      <c r="F90" s="2">
        <f t="shared" ca="1" si="14"/>
        <v>3.6</v>
      </c>
      <c r="G90" s="2">
        <f t="shared" ca="1" si="15"/>
        <v>53</v>
      </c>
      <c r="H90" s="2" t="str">
        <f t="shared" ca="1" si="16"/>
        <v>In Stock</v>
      </c>
      <c r="I90" s="2">
        <f t="shared" ca="1" si="17"/>
        <v>45</v>
      </c>
    </row>
    <row r="91" spans="1:9" x14ac:dyDescent="0.25">
      <c r="A91" s="2" t="str">
        <f t="shared" si="9"/>
        <v>P90</v>
      </c>
      <c r="B91" s="2" t="str">
        <f t="shared" ca="1" si="10"/>
        <v>Flipkart</v>
      </c>
      <c r="C91" s="2" t="str">
        <f t="shared" ca="1" si="11"/>
        <v>Beauty</v>
      </c>
      <c r="D91" s="2" t="str">
        <f t="shared" si="12"/>
        <v>Product_90</v>
      </c>
      <c r="E91" s="2">
        <f t="shared" ca="1" si="13"/>
        <v>52972</v>
      </c>
      <c r="F91" s="2">
        <f t="shared" ca="1" si="14"/>
        <v>4.4000000000000004</v>
      </c>
      <c r="G91" s="2">
        <f t="shared" ca="1" si="15"/>
        <v>3636</v>
      </c>
      <c r="H91" s="2" t="str">
        <f t="shared" ca="1" si="16"/>
        <v>In Stock</v>
      </c>
      <c r="I91" s="2">
        <f t="shared" ca="1" si="17"/>
        <v>10</v>
      </c>
    </row>
    <row r="92" spans="1:9" x14ac:dyDescent="0.25">
      <c r="A92" s="2" t="str">
        <f t="shared" si="9"/>
        <v>P91</v>
      </c>
      <c r="B92" s="2" t="str">
        <f t="shared" ca="1" si="10"/>
        <v>Flipkart</v>
      </c>
      <c r="C92" s="2" t="str">
        <f t="shared" ca="1" si="11"/>
        <v>Sports</v>
      </c>
      <c r="D92" s="2" t="str">
        <f t="shared" si="12"/>
        <v>Product_91</v>
      </c>
      <c r="E92" s="2">
        <f t="shared" ca="1" si="13"/>
        <v>74734</v>
      </c>
      <c r="F92" s="2">
        <f t="shared" ca="1" si="14"/>
        <v>3.5</v>
      </c>
      <c r="G92" s="2">
        <f t="shared" ca="1" si="15"/>
        <v>4253</v>
      </c>
      <c r="H92" s="2" t="str">
        <f t="shared" ca="1" si="16"/>
        <v>In Stock</v>
      </c>
      <c r="I92" s="2">
        <f t="shared" ca="1" si="17"/>
        <v>47</v>
      </c>
    </row>
    <row r="93" spans="1:9" x14ac:dyDescent="0.25">
      <c r="A93" s="2" t="str">
        <f t="shared" si="9"/>
        <v>P92</v>
      </c>
      <c r="B93" s="2" t="str">
        <f t="shared" ca="1" si="10"/>
        <v>Amazon</v>
      </c>
      <c r="C93" s="2" t="str">
        <f t="shared" ca="1" si="11"/>
        <v>Beauty</v>
      </c>
      <c r="D93" s="2" t="str">
        <f t="shared" si="12"/>
        <v>Product_92</v>
      </c>
      <c r="E93" s="2">
        <f t="shared" ca="1" si="13"/>
        <v>61483</v>
      </c>
      <c r="F93" s="2">
        <f t="shared" ca="1" si="14"/>
        <v>4.8</v>
      </c>
      <c r="G93" s="2">
        <f t="shared" ca="1" si="15"/>
        <v>4369</v>
      </c>
      <c r="H93" s="2" t="str">
        <f t="shared" ca="1" si="16"/>
        <v>In Stock</v>
      </c>
      <c r="I93" s="2">
        <f t="shared" ca="1" si="17"/>
        <v>57</v>
      </c>
    </row>
    <row r="94" spans="1:9" x14ac:dyDescent="0.25">
      <c r="A94" s="2" t="str">
        <f t="shared" si="9"/>
        <v>P93</v>
      </c>
      <c r="B94" s="2" t="str">
        <f t="shared" ca="1" si="10"/>
        <v>Amazon</v>
      </c>
      <c r="C94" s="2" t="str">
        <f t="shared" ca="1" si="11"/>
        <v>Beauty</v>
      </c>
      <c r="D94" s="2" t="str">
        <f t="shared" si="12"/>
        <v>Product_93</v>
      </c>
      <c r="E94" s="2">
        <f t="shared" ca="1" si="13"/>
        <v>74217</v>
      </c>
      <c r="F94" s="2">
        <f t="shared" ca="1" si="14"/>
        <v>2.7</v>
      </c>
      <c r="G94" s="2">
        <f t="shared" ca="1" si="15"/>
        <v>3409</v>
      </c>
      <c r="H94" s="2" t="str">
        <f t="shared" ca="1" si="16"/>
        <v>Out of Stock</v>
      </c>
      <c r="I94" s="2">
        <f t="shared" ca="1" si="17"/>
        <v>56</v>
      </c>
    </row>
    <row r="95" spans="1:9" x14ac:dyDescent="0.25">
      <c r="A95" s="2" t="str">
        <f t="shared" si="9"/>
        <v>P94</v>
      </c>
      <c r="B95" s="2" t="str">
        <f t="shared" ca="1" si="10"/>
        <v>Flipkart</v>
      </c>
      <c r="C95" s="2" t="str">
        <f t="shared" ca="1" si="11"/>
        <v>Electronics</v>
      </c>
      <c r="D95" s="2" t="str">
        <f t="shared" si="12"/>
        <v>Product_94</v>
      </c>
      <c r="E95" s="2">
        <f t="shared" ca="1" si="13"/>
        <v>6995</v>
      </c>
      <c r="F95" s="2">
        <f t="shared" ca="1" si="14"/>
        <v>3.3</v>
      </c>
      <c r="G95" s="2">
        <f t="shared" ca="1" si="15"/>
        <v>1750</v>
      </c>
      <c r="H95" s="2" t="str">
        <f t="shared" ca="1" si="16"/>
        <v>In Stock</v>
      </c>
      <c r="I95" s="2">
        <f t="shared" ca="1" si="17"/>
        <v>54</v>
      </c>
    </row>
    <row r="96" spans="1:9" x14ac:dyDescent="0.25">
      <c r="A96" s="2" t="str">
        <f t="shared" si="9"/>
        <v>P95</v>
      </c>
      <c r="B96" s="2" t="str">
        <f t="shared" ca="1" si="10"/>
        <v>Amazon</v>
      </c>
      <c r="C96" s="2" t="str">
        <f t="shared" ca="1" si="11"/>
        <v>Beauty</v>
      </c>
      <c r="D96" s="2" t="str">
        <f t="shared" si="12"/>
        <v>Product_95</v>
      </c>
      <c r="E96" s="2">
        <f t="shared" ca="1" si="13"/>
        <v>28334</v>
      </c>
      <c r="F96" s="2">
        <f t="shared" ca="1" si="14"/>
        <v>4.5999999999999996</v>
      </c>
      <c r="G96" s="2">
        <f t="shared" ca="1" si="15"/>
        <v>31</v>
      </c>
      <c r="H96" s="2" t="str">
        <f t="shared" ca="1" si="16"/>
        <v>In Stock</v>
      </c>
      <c r="I96" s="2">
        <f t="shared" ca="1" si="17"/>
        <v>21</v>
      </c>
    </row>
    <row r="97" spans="1:9" x14ac:dyDescent="0.25">
      <c r="A97" s="2" t="str">
        <f t="shared" si="9"/>
        <v>P96</v>
      </c>
      <c r="B97" s="2" t="str">
        <f t="shared" ca="1" si="10"/>
        <v>Flipkart</v>
      </c>
      <c r="C97" s="2" t="str">
        <f t="shared" ca="1" si="11"/>
        <v>Sports</v>
      </c>
      <c r="D97" s="2" t="str">
        <f t="shared" si="12"/>
        <v>Product_96</v>
      </c>
      <c r="E97" s="2">
        <f t="shared" ca="1" si="13"/>
        <v>58260</v>
      </c>
      <c r="F97" s="2">
        <f t="shared" ca="1" si="14"/>
        <v>4.4000000000000004</v>
      </c>
      <c r="G97" s="2">
        <f t="shared" ca="1" si="15"/>
        <v>609</v>
      </c>
      <c r="H97" s="2" t="str">
        <f t="shared" ca="1" si="16"/>
        <v>In Stock</v>
      </c>
      <c r="I97" s="2">
        <f t="shared" ca="1" si="17"/>
        <v>43</v>
      </c>
    </row>
    <row r="98" spans="1:9" x14ac:dyDescent="0.25">
      <c r="A98" s="2" t="str">
        <f t="shared" si="9"/>
        <v>P97</v>
      </c>
      <c r="B98" s="2" t="str">
        <f t="shared" ca="1" si="10"/>
        <v>Amazon</v>
      </c>
      <c r="C98" s="2" t="str">
        <f t="shared" ca="1" si="11"/>
        <v>Sports</v>
      </c>
      <c r="D98" s="2" t="str">
        <f t="shared" si="12"/>
        <v>Product_97</v>
      </c>
      <c r="E98" s="2">
        <f t="shared" ca="1" si="13"/>
        <v>54368</v>
      </c>
      <c r="F98" s="2">
        <f t="shared" ca="1" si="14"/>
        <v>3.6</v>
      </c>
      <c r="G98" s="2">
        <f t="shared" ca="1" si="15"/>
        <v>3078</v>
      </c>
      <c r="H98" s="2" t="str">
        <f t="shared" ca="1" si="16"/>
        <v>In Stock</v>
      </c>
      <c r="I98" s="2">
        <f t="shared" ca="1" si="17"/>
        <v>20</v>
      </c>
    </row>
    <row r="99" spans="1:9" x14ac:dyDescent="0.25">
      <c r="A99" s="2" t="str">
        <f t="shared" si="9"/>
        <v>P98</v>
      </c>
      <c r="B99" s="2" t="str">
        <f t="shared" ca="1" si="10"/>
        <v>Flipkart</v>
      </c>
      <c r="C99" s="2" t="str">
        <f t="shared" ca="1" si="11"/>
        <v>Sports</v>
      </c>
      <c r="D99" s="2" t="str">
        <f t="shared" si="12"/>
        <v>Product_98</v>
      </c>
      <c r="E99" s="2">
        <f t="shared" ca="1" si="13"/>
        <v>69123</v>
      </c>
      <c r="F99" s="2">
        <f t="shared" ca="1" si="14"/>
        <v>3.7</v>
      </c>
      <c r="G99" s="2">
        <f t="shared" ca="1" si="15"/>
        <v>2638</v>
      </c>
      <c r="H99" s="2" t="str">
        <f t="shared" ca="1" si="16"/>
        <v>Out of Stock</v>
      </c>
      <c r="I99" s="2">
        <f t="shared" ca="1" si="17"/>
        <v>48</v>
      </c>
    </row>
    <row r="100" spans="1:9" x14ac:dyDescent="0.25">
      <c r="A100" s="2" t="str">
        <f t="shared" si="9"/>
        <v>P99</v>
      </c>
      <c r="B100" s="2" t="str">
        <f t="shared" ca="1" si="10"/>
        <v>Flipkart</v>
      </c>
      <c r="C100" s="2" t="str">
        <f t="shared" ca="1" si="11"/>
        <v>Sports</v>
      </c>
      <c r="D100" s="2" t="str">
        <f t="shared" si="12"/>
        <v>Product_99</v>
      </c>
      <c r="E100" s="2">
        <f t="shared" ca="1" si="13"/>
        <v>56352</v>
      </c>
      <c r="F100" s="2">
        <f t="shared" ca="1" si="14"/>
        <v>2.7</v>
      </c>
      <c r="G100" s="2">
        <f t="shared" ca="1" si="15"/>
        <v>3964</v>
      </c>
      <c r="H100" s="2" t="str">
        <f t="shared" ca="1" si="16"/>
        <v>In Stock</v>
      </c>
      <c r="I100" s="2">
        <f t="shared" ca="1" si="17"/>
        <v>10</v>
      </c>
    </row>
    <row r="101" spans="1:9" x14ac:dyDescent="0.25">
      <c r="A101" s="2" t="str">
        <f t="shared" si="9"/>
        <v>P100</v>
      </c>
      <c r="B101" s="2" t="str">
        <f t="shared" ca="1" si="10"/>
        <v>Amazon</v>
      </c>
      <c r="C101" s="2" t="str">
        <f t="shared" ca="1" si="11"/>
        <v>Home &amp; Kitchen</v>
      </c>
      <c r="D101" s="2" t="str">
        <f t="shared" si="12"/>
        <v>Product_100</v>
      </c>
      <c r="E101" s="2">
        <f t="shared" ca="1" si="13"/>
        <v>41139</v>
      </c>
      <c r="F101" s="2">
        <f t="shared" ca="1" si="14"/>
        <v>3.8</v>
      </c>
      <c r="G101" s="2">
        <f t="shared" ca="1" si="15"/>
        <v>404</v>
      </c>
      <c r="H101" s="2" t="str">
        <f t="shared" ca="1" si="16"/>
        <v>In Stock</v>
      </c>
      <c r="I101" s="2">
        <f t="shared" ca="1" si="17"/>
        <v>17</v>
      </c>
    </row>
    <row r="102" spans="1:9" x14ac:dyDescent="0.25">
      <c r="A102" s="2" t="str">
        <f t="shared" si="9"/>
        <v>P101</v>
      </c>
      <c r="B102" s="2" t="str">
        <f t="shared" ca="1" si="10"/>
        <v>Flipkart</v>
      </c>
      <c r="C102" s="2" t="str">
        <f t="shared" ca="1" si="11"/>
        <v>Sports</v>
      </c>
      <c r="D102" s="2" t="str">
        <f t="shared" si="12"/>
        <v>Product_101</v>
      </c>
      <c r="E102" s="2">
        <f t="shared" ca="1" si="13"/>
        <v>60119</v>
      </c>
      <c r="F102" s="2">
        <f t="shared" ca="1" si="14"/>
        <v>4.5999999999999996</v>
      </c>
      <c r="G102" s="2">
        <f t="shared" ca="1" si="15"/>
        <v>1505</v>
      </c>
      <c r="H102" s="2" t="str">
        <f t="shared" ca="1" si="16"/>
        <v>In Stock</v>
      </c>
      <c r="I102" s="2">
        <f t="shared" ca="1" si="17"/>
        <v>8</v>
      </c>
    </row>
    <row r="103" spans="1:9" x14ac:dyDescent="0.25">
      <c r="A103" s="2" t="str">
        <f t="shared" si="9"/>
        <v>P102</v>
      </c>
      <c r="B103" s="2" t="str">
        <f t="shared" ca="1" si="10"/>
        <v>Amazon</v>
      </c>
      <c r="C103" s="2" t="str">
        <f t="shared" ca="1" si="11"/>
        <v>Fashion</v>
      </c>
      <c r="D103" s="2" t="str">
        <f t="shared" si="12"/>
        <v>Product_102</v>
      </c>
      <c r="E103" s="2">
        <f t="shared" ca="1" si="13"/>
        <v>59078</v>
      </c>
      <c r="F103" s="2">
        <f t="shared" ca="1" si="14"/>
        <v>3.3</v>
      </c>
      <c r="G103" s="2">
        <f t="shared" ca="1" si="15"/>
        <v>1588</v>
      </c>
      <c r="H103" s="2" t="str">
        <f t="shared" ca="1" si="16"/>
        <v>In Stock</v>
      </c>
      <c r="I103" s="2">
        <f t="shared" ca="1" si="17"/>
        <v>48</v>
      </c>
    </row>
    <row r="104" spans="1:9" x14ac:dyDescent="0.25">
      <c r="A104" s="2" t="str">
        <f t="shared" si="9"/>
        <v>P103</v>
      </c>
      <c r="B104" s="2" t="str">
        <f t="shared" ca="1" si="10"/>
        <v>Flipkart</v>
      </c>
      <c r="C104" s="2" t="str">
        <f t="shared" ca="1" si="11"/>
        <v>Beauty</v>
      </c>
      <c r="D104" s="2" t="str">
        <f t="shared" si="12"/>
        <v>Product_103</v>
      </c>
      <c r="E104" s="2">
        <f t="shared" ca="1" si="13"/>
        <v>53530</v>
      </c>
      <c r="F104" s="2">
        <f t="shared" ca="1" si="14"/>
        <v>4.4000000000000004</v>
      </c>
      <c r="G104" s="2">
        <f t="shared" ca="1" si="15"/>
        <v>4948</v>
      </c>
      <c r="H104" s="2" t="str">
        <f t="shared" ca="1" si="16"/>
        <v>In Stock</v>
      </c>
      <c r="I104" s="2">
        <f t="shared" ca="1" si="17"/>
        <v>46</v>
      </c>
    </row>
    <row r="105" spans="1:9" x14ac:dyDescent="0.25">
      <c r="A105" s="2" t="str">
        <f t="shared" si="9"/>
        <v>P104</v>
      </c>
      <c r="B105" s="2" t="str">
        <f t="shared" ca="1" si="10"/>
        <v>Flipkart</v>
      </c>
      <c r="C105" s="2" t="str">
        <f t="shared" ca="1" si="11"/>
        <v>Home &amp; Kitchen</v>
      </c>
      <c r="D105" s="2" t="str">
        <f t="shared" si="12"/>
        <v>Product_104</v>
      </c>
      <c r="E105" s="2">
        <f t="shared" ca="1" si="13"/>
        <v>11184</v>
      </c>
      <c r="F105" s="2">
        <f t="shared" ca="1" si="14"/>
        <v>4.7</v>
      </c>
      <c r="G105" s="2">
        <f t="shared" ca="1" si="15"/>
        <v>4185</v>
      </c>
      <c r="H105" s="2" t="str">
        <f t="shared" ca="1" si="16"/>
        <v>In Stock</v>
      </c>
      <c r="I105" s="2">
        <f t="shared" ca="1" si="17"/>
        <v>38</v>
      </c>
    </row>
    <row r="106" spans="1:9" x14ac:dyDescent="0.25">
      <c r="A106" s="2" t="str">
        <f t="shared" si="9"/>
        <v>P105</v>
      </c>
      <c r="B106" s="2" t="str">
        <f t="shared" ca="1" si="10"/>
        <v>Flipkart</v>
      </c>
      <c r="C106" s="2" t="str">
        <f t="shared" ca="1" si="11"/>
        <v>Sports</v>
      </c>
      <c r="D106" s="2" t="str">
        <f t="shared" si="12"/>
        <v>Product_105</v>
      </c>
      <c r="E106" s="2">
        <f t="shared" ca="1" si="13"/>
        <v>19667</v>
      </c>
      <c r="F106" s="2">
        <f t="shared" ca="1" si="14"/>
        <v>2.8</v>
      </c>
      <c r="G106" s="2">
        <f t="shared" ca="1" si="15"/>
        <v>2128</v>
      </c>
      <c r="H106" s="2" t="str">
        <f t="shared" ca="1" si="16"/>
        <v>In Stock</v>
      </c>
      <c r="I106" s="2">
        <f t="shared" ca="1" si="17"/>
        <v>9</v>
      </c>
    </row>
    <row r="107" spans="1:9" x14ac:dyDescent="0.25">
      <c r="A107" s="2" t="str">
        <f t="shared" si="9"/>
        <v>P106</v>
      </c>
      <c r="B107" s="2" t="str">
        <f t="shared" ca="1" si="10"/>
        <v>Amazon</v>
      </c>
      <c r="C107" s="2" t="str">
        <f t="shared" ca="1" si="11"/>
        <v>Beauty</v>
      </c>
      <c r="D107" s="2" t="str">
        <f t="shared" si="12"/>
        <v>Product_106</v>
      </c>
      <c r="E107" s="2">
        <f t="shared" ca="1" si="13"/>
        <v>25966</v>
      </c>
      <c r="F107" s="2">
        <f t="shared" ca="1" si="14"/>
        <v>4.9000000000000004</v>
      </c>
      <c r="G107" s="2">
        <f t="shared" ca="1" si="15"/>
        <v>250</v>
      </c>
      <c r="H107" s="2" t="str">
        <f t="shared" ca="1" si="16"/>
        <v>In Stock</v>
      </c>
      <c r="I107" s="2">
        <f t="shared" ca="1" si="17"/>
        <v>39</v>
      </c>
    </row>
    <row r="108" spans="1:9" x14ac:dyDescent="0.25">
      <c r="A108" s="2" t="str">
        <f t="shared" si="9"/>
        <v>P107</v>
      </c>
      <c r="B108" s="2" t="str">
        <f t="shared" ca="1" si="10"/>
        <v>Amazon</v>
      </c>
      <c r="C108" s="2" t="str">
        <f t="shared" ca="1" si="11"/>
        <v>Sports</v>
      </c>
      <c r="D108" s="2" t="str">
        <f t="shared" si="12"/>
        <v>Product_107</v>
      </c>
      <c r="E108" s="2">
        <f t="shared" ca="1" si="13"/>
        <v>29248</v>
      </c>
      <c r="F108" s="2">
        <f t="shared" ca="1" si="14"/>
        <v>2.7</v>
      </c>
      <c r="G108" s="2">
        <f t="shared" ca="1" si="15"/>
        <v>4478</v>
      </c>
      <c r="H108" s="2" t="str">
        <f t="shared" ca="1" si="16"/>
        <v>In Stock</v>
      </c>
      <c r="I108" s="2">
        <f t="shared" ca="1" si="17"/>
        <v>10</v>
      </c>
    </row>
    <row r="109" spans="1:9" x14ac:dyDescent="0.25">
      <c r="A109" s="2" t="str">
        <f t="shared" si="9"/>
        <v>P108</v>
      </c>
      <c r="B109" s="2" t="str">
        <f t="shared" ca="1" si="10"/>
        <v>Flipkart</v>
      </c>
      <c r="C109" s="2" t="str">
        <f t="shared" ca="1" si="11"/>
        <v>Electronics</v>
      </c>
      <c r="D109" s="2" t="str">
        <f t="shared" si="12"/>
        <v>Product_108</v>
      </c>
      <c r="E109" s="2">
        <f t="shared" ca="1" si="13"/>
        <v>39550</v>
      </c>
      <c r="F109" s="2">
        <f t="shared" ca="1" si="14"/>
        <v>2.9</v>
      </c>
      <c r="G109" s="2">
        <f t="shared" ca="1" si="15"/>
        <v>253</v>
      </c>
      <c r="H109" s="2" t="str">
        <f t="shared" ca="1" si="16"/>
        <v>In Stock</v>
      </c>
      <c r="I109" s="2">
        <f t="shared" ca="1" si="17"/>
        <v>24</v>
      </c>
    </row>
    <row r="110" spans="1:9" x14ac:dyDescent="0.25">
      <c r="A110" s="2" t="str">
        <f t="shared" si="9"/>
        <v>P109</v>
      </c>
      <c r="B110" s="2" t="str">
        <f t="shared" ca="1" si="10"/>
        <v>Flipkart</v>
      </c>
      <c r="C110" s="2" t="str">
        <f t="shared" ca="1" si="11"/>
        <v>Electronics</v>
      </c>
      <c r="D110" s="2" t="str">
        <f t="shared" si="12"/>
        <v>Product_109</v>
      </c>
      <c r="E110" s="2">
        <f t="shared" ca="1" si="13"/>
        <v>13797</v>
      </c>
      <c r="F110" s="2">
        <f t="shared" ca="1" si="14"/>
        <v>2.7</v>
      </c>
      <c r="G110" s="2">
        <f t="shared" ca="1" si="15"/>
        <v>3724</v>
      </c>
      <c r="H110" s="2" t="str">
        <f t="shared" ca="1" si="16"/>
        <v>In Stock</v>
      </c>
      <c r="I110" s="2">
        <f t="shared" ca="1" si="17"/>
        <v>10</v>
      </c>
    </row>
    <row r="111" spans="1:9" x14ac:dyDescent="0.25">
      <c r="A111" s="2" t="str">
        <f t="shared" si="9"/>
        <v>P110</v>
      </c>
      <c r="B111" s="2" t="str">
        <f t="shared" ca="1" si="10"/>
        <v>Flipkart</v>
      </c>
      <c r="C111" s="2" t="str">
        <f t="shared" ca="1" si="11"/>
        <v>Home &amp; Kitchen</v>
      </c>
      <c r="D111" s="2" t="str">
        <f t="shared" si="12"/>
        <v>Product_110</v>
      </c>
      <c r="E111" s="2">
        <f t="shared" ca="1" si="13"/>
        <v>19678</v>
      </c>
      <c r="F111" s="2">
        <f t="shared" ca="1" si="14"/>
        <v>4.8</v>
      </c>
      <c r="G111" s="2">
        <f t="shared" ca="1" si="15"/>
        <v>3434</v>
      </c>
      <c r="H111" s="2" t="str">
        <f t="shared" ca="1" si="16"/>
        <v>In Stock</v>
      </c>
      <c r="I111" s="2">
        <f t="shared" ca="1" si="17"/>
        <v>51</v>
      </c>
    </row>
    <row r="112" spans="1:9" x14ac:dyDescent="0.25">
      <c r="A112" s="2" t="str">
        <f t="shared" si="9"/>
        <v>P111</v>
      </c>
      <c r="B112" s="2" t="str">
        <f t="shared" ca="1" si="10"/>
        <v>Flipkart</v>
      </c>
      <c r="C112" s="2" t="str">
        <f t="shared" ca="1" si="11"/>
        <v>Sports</v>
      </c>
      <c r="D112" s="2" t="str">
        <f t="shared" si="12"/>
        <v>Product_111</v>
      </c>
      <c r="E112" s="2">
        <f t="shared" ca="1" si="13"/>
        <v>62049</v>
      </c>
      <c r="F112" s="2">
        <f t="shared" ca="1" si="14"/>
        <v>4.5999999999999996</v>
      </c>
      <c r="G112" s="2">
        <f t="shared" ca="1" si="15"/>
        <v>2147</v>
      </c>
      <c r="H112" s="2" t="str">
        <f t="shared" ca="1" si="16"/>
        <v>In Stock</v>
      </c>
      <c r="I112" s="2">
        <f t="shared" ca="1" si="17"/>
        <v>12</v>
      </c>
    </row>
    <row r="113" spans="1:9" x14ac:dyDescent="0.25">
      <c r="A113" s="2" t="str">
        <f t="shared" si="9"/>
        <v>P112</v>
      </c>
      <c r="B113" s="2" t="str">
        <f t="shared" ca="1" si="10"/>
        <v>Flipkart</v>
      </c>
      <c r="C113" s="2" t="str">
        <f t="shared" ca="1" si="11"/>
        <v>Home &amp; Kitchen</v>
      </c>
      <c r="D113" s="2" t="str">
        <f t="shared" si="12"/>
        <v>Product_112</v>
      </c>
      <c r="E113" s="2">
        <f t="shared" ca="1" si="13"/>
        <v>21869</v>
      </c>
      <c r="F113" s="2">
        <f t="shared" ca="1" si="14"/>
        <v>3.1</v>
      </c>
      <c r="G113" s="2">
        <f t="shared" ca="1" si="15"/>
        <v>261</v>
      </c>
      <c r="H113" s="2" t="str">
        <f t="shared" ca="1" si="16"/>
        <v>In Stock</v>
      </c>
      <c r="I113" s="2">
        <f t="shared" ca="1" si="17"/>
        <v>23</v>
      </c>
    </row>
    <row r="114" spans="1:9" x14ac:dyDescent="0.25">
      <c r="A114" s="2" t="str">
        <f t="shared" si="9"/>
        <v>P113</v>
      </c>
      <c r="B114" s="2" t="str">
        <f t="shared" ca="1" si="10"/>
        <v>Flipkart</v>
      </c>
      <c r="C114" s="2" t="str">
        <f t="shared" ca="1" si="11"/>
        <v>Sports</v>
      </c>
      <c r="D114" s="2" t="str">
        <f t="shared" si="12"/>
        <v>Product_113</v>
      </c>
      <c r="E114" s="2">
        <f t="shared" ca="1" si="13"/>
        <v>60181</v>
      </c>
      <c r="F114" s="2">
        <f t="shared" ca="1" si="14"/>
        <v>2.6</v>
      </c>
      <c r="G114" s="2">
        <f t="shared" ca="1" si="15"/>
        <v>3634</v>
      </c>
      <c r="H114" s="2" t="str">
        <f t="shared" ca="1" si="16"/>
        <v>In Stock</v>
      </c>
      <c r="I114" s="2">
        <f t="shared" ca="1" si="17"/>
        <v>36</v>
      </c>
    </row>
    <row r="115" spans="1:9" x14ac:dyDescent="0.25">
      <c r="A115" s="2" t="str">
        <f t="shared" si="9"/>
        <v>P114</v>
      </c>
      <c r="B115" s="2" t="str">
        <f t="shared" ca="1" si="10"/>
        <v>Amazon</v>
      </c>
      <c r="C115" s="2" t="str">
        <f t="shared" ca="1" si="11"/>
        <v>Beauty</v>
      </c>
      <c r="D115" s="2" t="str">
        <f t="shared" si="12"/>
        <v>Product_114</v>
      </c>
      <c r="E115" s="2">
        <f t="shared" ca="1" si="13"/>
        <v>76579</v>
      </c>
      <c r="F115" s="2">
        <f t="shared" ca="1" si="14"/>
        <v>3.6</v>
      </c>
      <c r="G115" s="2">
        <f t="shared" ca="1" si="15"/>
        <v>937</v>
      </c>
      <c r="H115" s="2" t="str">
        <f t="shared" ca="1" si="16"/>
        <v>In Stock</v>
      </c>
      <c r="I115" s="2">
        <f t="shared" ca="1" si="17"/>
        <v>44</v>
      </c>
    </row>
    <row r="116" spans="1:9" x14ac:dyDescent="0.25">
      <c r="A116" s="2" t="str">
        <f t="shared" si="9"/>
        <v>P115</v>
      </c>
      <c r="B116" s="2" t="str">
        <f t="shared" ca="1" si="10"/>
        <v>Flipkart</v>
      </c>
      <c r="C116" s="2" t="str">
        <f t="shared" ca="1" si="11"/>
        <v>Electronics</v>
      </c>
      <c r="D116" s="2" t="str">
        <f t="shared" si="12"/>
        <v>Product_115</v>
      </c>
      <c r="E116" s="2">
        <f t="shared" ca="1" si="13"/>
        <v>25129</v>
      </c>
      <c r="F116" s="2">
        <f t="shared" ca="1" si="14"/>
        <v>2.7</v>
      </c>
      <c r="G116" s="2">
        <f t="shared" ca="1" si="15"/>
        <v>1952</v>
      </c>
      <c r="H116" s="2" t="str">
        <f t="shared" ca="1" si="16"/>
        <v>In Stock</v>
      </c>
      <c r="I116" s="2">
        <f t="shared" ca="1" si="17"/>
        <v>15</v>
      </c>
    </row>
    <row r="117" spans="1:9" x14ac:dyDescent="0.25">
      <c r="A117" s="2" t="str">
        <f t="shared" si="9"/>
        <v>P116</v>
      </c>
      <c r="B117" s="2" t="str">
        <f t="shared" ca="1" si="10"/>
        <v>Flipkart</v>
      </c>
      <c r="C117" s="2" t="str">
        <f t="shared" ca="1" si="11"/>
        <v>Fashion</v>
      </c>
      <c r="D117" s="2" t="str">
        <f t="shared" si="12"/>
        <v>Product_116</v>
      </c>
      <c r="E117" s="2">
        <f t="shared" ca="1" si="13"/>
        <v>51582</v>
      </c>
      <c r="F117" s="2">
        <f t="shared" ca="1" si="14"/>
        <v>3.2</v>
      </c>
      <c r="G117" s="2">
        <f t="shared" ca="1" si="15"/>
        <v>3192</v>
      </c>
      <c r="H117" s="2" t="str">
        <f t="shared" ca="1" si="16"/>
        <v>In Stock</v>
      </c>
      <c r="I117" s="2">
        <f t="shared" ca="1" si="17"/>
        <v>31</v>
      </c>
    </row>
    <row r="118" spans="1:9" x14ac:dyDescent="0.25">
      <c r="A118" s="2" t="str">
        <f t="shared" si="9"/>
        <v>P117</v>
      </c>
      <c r="B118" s="2" t="str">
        <f t="shared" ca="1" si="10"/>
        <v>Flipkart</v>
      </c>
      <c r="C118" s="2" t="str">
        <f t="shared" ca="1" si="11"/>
        <v>Beauty</v>
      </c>
      <c r="D118" s="2" t="str">
        <f t="shared" si="12"/>
        <v>Product_117</v>
      </c>
      <c r="E118" s="2">
        <f t="shared" ca="1" si="13"/>
        <v>10940</v>
      </c>
      <c r="F118" s="2">
        <f t="shared" ca="1" si="14"/>
        <v>4</v>
      </c>
      <c r="G118" s="2">
        <f t="shared" ca="1" si="15"/>
        <v>2115</v>
      </c>
      <c r="H118" s="2" t="str">
        <f t="shared" ca="1" si="16"/>
        <v>Out of Stock</v>
      </c>
      <c r="I118" s="2">
        <f t="shared" ca="1" si="17"/>
        <v>17</v>
      </c>
    </row>
    <row r="119" spans="1:9" x14ac:dyDescent="0.25">
      <c r="A119" s="2" t="str">
        <f t="shared" si="9"/>
        <v>P118</v>
      </c>
      <c r="B119" s="2" t="str">
        <f t="shared" ca="1" si="10"/>
        <v>Flipkart</v>
      </c>
      <c r="C119" s="2" t="str">
        <f t="shared" ca="1" si="11"/>
        <v>Sports</v>
      </c>
      <c r="D119" s="2" t="str">
        <f t="shared" si="12"/>
        <v>Product_118</v>
      </c>
      <c r="E119" s="2">
        <f t="shared" ca="1" si="13"/>
        <v>57116</v>
      </c>
      <c r="F119" s="2">
        <f t="shared" ca="1" si="14"/>
        <v>2.7</v>
      </c>
      <c r="G119" s="2">
        <f t="shared" ca="1" si="15"/>
        <v>2170</v>
      </c>
      <c r="H119" s="2" t="str">
        <f t="shared" ca="1" si="16"/>
        <v>In Stock</v>
      </c>
      <c r="I119" s="2">
        <f t="shared" ca="1" si="17"/>
        <v>12</v>
      </c>
    </row>
    <row r="120" spans="1:9" x14ac:dyDescent="0.25">
      <c r="A120" s="2" t="str">
        <f t="shared" si="9"/>
        <v>P119</v>
      </c>
      <c r="B120" s="2" t="str">
        <f t="shared" ca="1" si="10"/>
        <v>Amazon</v>
      </c>
      <c r="C120" s="2" t="str">
        <f t="shared" ca="1" si="11"/>
        <v>Fashion</v>
      </c>
      <c r="D120" s="2" t="str">
        <f t="shared" si="12"/>
        <v>Product_119</v>
      </c>
      <c r="E120" s="2">
        <f t="shared" ca="1" si="13"/>
        <v>40502</v>
      </c>
      <c r="F120" s="2">
        <f t="shared" ca="1" si="14"/>
        <v>3.4</v>
      </c>
      <c r="G120" s="2">
        <f t="shared" ca="1" si="15"/>
        <v>1033</v>
      </c>
      <c r="H120" s="2" t="str">
        <f t="shared" ca="1" si="16"/>
        <v>In Stock</v>
      </c>
      <c r="I120" s="2">
        <f t="shared" ca="1" si="17"/>
        <v>15</v>
      </c>
    </row>
    <row r="121" spans="1:9" x14ac:dyDescent="0.25">
      <c r="A121" s="2" t="str">
        <f t="shared" si="9"/>
        <v>P120</v>
      </c>
      <c r="B121" s="2" t="str">
        <f t="shared" ca="1" si="10"/>
        <v>Amazon</v>
      </c>
      <c r="C121" s="2" t="str">
        <f t="shared" ca="1" si="11"/>
        <v>Beauty</v>
      </c>
      <c r="D121" s="2" t="str">
        <f t="shared" si="12"/>
        <v>Product_120</v>
      </c>
      <c r="E121" s="2">
        <f t="shared" ca="1" si="13"/>
        <v>47126</v>
      </c>
      <c r="F121" s="2">
        <f t="shared" ca="1" si="14"/>
        <v>2.6</v>
      </c>
      <c r="G121" s="2">
        <f t="shared" ca="1" si="15"/>
        <v>805</v>
      </c>
      <c r="H121" s="2" t="str">
        <f t="shared" ca="1" si="16"/>
        <v>In Stock</v>
      </c>
      <c r="I121" s="2">
        <f t="shared" ca="1" si="17"/>
        <v>36</v>
      </c>
    </row>
    <row r="122" spans="1:9" x14ac:dyDescent="0.25">
      <c r="A122" s="2" t="str">
        <f t="shared" si="9"/>
        <v>P121</v>
      </c>
      <c r="B122" s="2" t="str">
        <f t="shared" ca="1" si="10"/>
        <v>Flipkart</v>
      </c>
      <c r="C122" s="2" t="str">
        <f t="shared" ca="1" si="11"/>
        <v>Electronics</v>
      </c>
      <c r="D122" s="2" t="str">
        <f t="shared" si="12"/>
        <v>Product_121</v>
      </c>
      <c r="E122" s="2">
        <f t="shared" ca="1" si="13"/>
        <v>55386</v>
      </c>
      <c r="F122" s="2">
        <f t="shared" ca="1" si="14"/>
        <v>2.5</v>
      </c>
      <c r="G122" s="2">
        <f t="shared" ca="1" si="15"/>
        <v>1004</v>
      </c>
      <c r="H122" s="2" t="str">
        <f t="shared" ca="1" si="16"/>
        <v>In Stock</v>
      </c>
      <c r="I122" s="2">
        <f t="shared" ca="1" si="17"/>
        <v>11</v>
      </c>
    </row>
    <row r="123" spans="1:9" x14ac:dyDescent="0.25">
      <c r="A123" s="2" t="str">
        <f t="shared" si="9"/>
        <v>P122</v>
      </c>
      <c r="B123" s="2" t="str">
        <f t="shared" ca="1" si="10"/>
        <v>Flipkart</v>
      </c>
      <c r="C123" s="2" t="str">
        <f t="shared" ca="1" si="11"/>
        <v>Fashion</v>
      </c>
      <c r="D123" s="2" t="str">
        <f t="shared" si="12"/>
        <v>Product_122</v>
      </c>
      <c r="E123" s="2">
        <f t="shared" ca="1" si="13"/>
        <v>33363</v>
      </c>
      <c r="F123" s="2">
        <f t="shared" ca="1" si="14"/>
        <v>3.1</v>
      </c>
      <c r="G123" s="2">
        <f t="shared" ca="1" si="15"/>
        <v>4834</v>
      </c>
      <c r="H123" s="2" t="str">
        <f t="shared" ca="1" si="16"/>
        <v>In Stock</v>
      </c>
      <c r="I123" s="2">
        <f t="shared" ca="1" si="17"/>
        <v>13</v>
      </c>
    </row>
    <row r="124" spans="1:9" x14ac:dyDescent="0.25">
      <c r="A124" s="2" t="str">
        <f t="shared" si="9"/>
        <v>P123</v>
      </c>
      <c r="B124" s="2" t="str">
        <f t="shared" ca="1" si="10"/>
        <v>Amazon</v>
      </c>
      <c r="C124" s="2" t="str">
        <f t="shared" ca="1" si="11"/>
        <v>Home &amp; Kitchen</v>
      </c>
      <c r="D124" s="2" t="str">
        <f t="shared" si="12"/>
        <v>Product_123</v>
      </c>
      <c r="E124" s="2">
        <f t="shared" ca="1" si="13"/>
        <v>61794</v>
      </c>
      <c r="F124" s="2">
        <f t="shared" ca="1" si="14"/>
        <v>2.9</v>
      </c>
      <c r="G124" s="2">
        <f t="shared" ca="1" si="15"/>
        <v>500</v>
      </c>
      <c r="H124" s="2" t="str">
        <f t="shared" ca="1" si="16"/>
        <v>In Stock</v>
      </c>
      <c r="I124" s="2">
        <f t="shared" ca="1" si="17"/>
        <v>48</v>
      </c>
    </row>
    <row r="125" spans="1:9" x14ac:dyDescent="0.25">
      <c r="A125" s="2" t="str">
        <f t="shared" si="9"/>
        <v>P124</v>
      </c>
      <c r="B125" s="2" t="str">
        <f t="shared" ca="1" si="10"/>
        <v>Flipkart</v>
      </c>
      <c r="C125" s="2" t="str">
        <f t="shared" ca="1" si="11"/>
        <v>Electronics</v>
      </c>
      <c r="D125" s="2" t="str">
        <f t="shared" si="12"/>
        <v>Product_124</v>
      </c>
      <c r="E125" s="2">
        <f t="shared" ca="1" si="13"/>
        <v>23638</v>
      </c>
      <c r="F125" s="2">
        <f t="shared" ca="1" si="14"/>
        <v>4.4000000000000004</v>
      </c>
      <c r="G125" s="2">
        <f t="shared" ca="1" si="15"/>
        <v>4796</v>
      </c>
      <c r="H125" s="2" t="str">
        <f t="shared" ca="1" si="16"/>
        <v>Out of Stock</v>
      </c>
      <c r="I125" s="2">
        <f t="shared" ca="1" si="17"/>
        <v>50</v>
      </c>
    </row>
    <row r="126" spans="1:9" x14ac:dyDescent="0.25">
      <c r="A126" s="2" t="str">
        <f t="shared" si="9"/>
        <v>P125</v>
      </c>
      <c r="B126" s="2" t="str">
        <f t="shared" ca="1" si="10"/>
        <v>Flipkart</v>
      </c>
      <c r="C126" s="2" t="str">
        <f t="shared" ca="1" si="11"/>
        <v>Sports</v>
      </c>
      <c r="D126" s="2" t="str">
        <f t="shared" si="12"/>
        <v>Product_125</v>
      </c>
      <c r="E126" s="2">
        <f t="shared" ca="1" si="13"/>
        <v>23152</v>
      </c>
      <c r="F126" s="2">
        <f t="shared" ca="1" si="14"/>
        <v>4.3</v>
      </c>
      <c r="G126" s="2">
        <f t="shared" ca="1" si="15"/>
        <v>622</v>
      </c>
      <c r="H126" s="2" t="str">
        <f t="shared" ca="1" si="16"/>
        <v>Out of Stock</v>
      </c>
      <c r="I126" s="2">
        <f t="shared" ca="1" si="17"/>
        <v>40</v>
      </c>
    </row>
    <row r="127" spans="1:9" x14ac:dyDescent="0.25">
      <c r="A127" s="2" t="str">
        <f t="shared" si="9"/>
        <v>P126</v>
      </c>
      <c r="B127" s="2" t="str">
        <f t="shared" ca="1" si="10"/>
        <v>Flipkart</v>
      </c>
      <c r="C127" s="2" t="str">
        <f t="shared" ca="1" si="11"/>
        <v>Fashion</v>
      </c>
      <c r="D127" s="2" t="str">
        <f t="shared" si="12"/>
        <v>Product_126</v>
      </c>
      <c r="E127" s="2">
        <f t="shared" ca="1" si="13"/>
        <v>66292</v>
      </c>
      <c r="F127" s="2">
        <f t="shared" ca="1" si="14"/>
        <v>5</v>
      </c>
      <c r="G127" s="2">
        <f t="shared" ca="1" si="15"/>
        <v>1737</v>
      </c>
      <c r="H127" s="2" t="str">
        <f t="shared" ca="1" si="16"/>
        <v>In Stock</v>
      </c>
      <c r="I127" s="2">
        <f t="shared" ca="1" si="17"/>
        <v>34</v>
      </c>
    </row>
    <row r="128" spans="1:9" x14ac:dyDescent="0.25">
      <c r="A128" s="2" t="str">
        <f t="shared" si="9"/>
        <v>P127</v>
      </c>
      <c r="B128" s="2" t="str">
        <f t="shared" ca="1" si="10"/>
        <v>Flipkart</v>
      </c>
      <c r="C128" s="2" t="str">
        <f t="shared" ca="1" si="11"/>
        <v>Electronics</v>
      </c>
      <c r="D128" s="2" t="str">
        <f t="shared" si="12"/>
        <v>Product_127</v>
      </c>
      <c r="E128" s="2">
        <f t="shared" ca="1" si="13"/>
        <v>52220</v>
      </c>
      <c r="F128" s="2">
        <f t="shared" ca="1" si="14"/>
        <v>2.9</v>
      </c>
      <c r="G128" s="2">
        <f t="shared" ca="1" si="15"/>
        <v>901</v>
      </c>
      <c r="H128" s="2" t="str">
        <f t="shared" ca="1" si="16"/>
        <v>In Stock</v>
      </c>
      <c r="I128" s="2">
        <f t="shared" ca="1" si="17"/>
        <v>15</v>
      </c>
    </row>
    <row r="129" spans="1:9" x14ac:dyDescent="0.25">
      <c r="A129" s="2" t="str">
        <f t="shared" si="9"/>
        <v>P128</v>
      </c>
      <c r="B129" s="2" t="str">
        <f t="shared" ca="1" si="10"/>
        <v>Flipkart</v>
      </c>
      <c r="C129" s="2" t="str">
        <f t="shared" ca="1" si="11"/>
        <v>Beauty</v>
      </c>
      <c r="D129" s="2" t="str">
        <f t="shared" si="12"/>
        <v>Product_128</v>
      </c>
      <c r="E129" s="2">
        <f t="shared" ca="1" si="13"/>
        <v>72055</v>
      </c>
      <c r="F129" s="2">
        <f t="shared" ca="1" si="14"/>
        <v>4.8</v>
      </c>
      <c r="G129" s="2">
        <f t="shared" ca="1" si="15"/>
        <v>1631</v>
      </c>
      <c r="H129" s="2" t="str">
        <f t="shared" ca="1" si="16"/>
        <v>In Stock</v>
      </c>
      <c r="I129" s="2">
        <f t="shared" ca="1" si="17"/>
        <v>57</v>
      </c>
    </row>
    <row r="130" spans="1:9" x14ac:dyDescent="0.25">
      <c r="A130" s="2" t="str">
        <f t="shared" si="9"/>
        <v>P129</v>
      </c>
      <c r="B130" s="2" t="str">
        <f t="shared" ca="1" si="10"/>
        <v>Flipkart</v>
      </c>
      <c r="C130" s="2" t="str">
        <f t="shared" ca="1" si="11"/>
        <v>Sports</v>
      </c>
      <c r="D130" s="2" t="str">
        <f t="shared" si="12"/>
        <v>Product_129</v>
      </c>
      <c r="E130" s="2">
        <f t="shared" ca="1" si="13"/>
        <v>76106</v>
      </c>
      <c r="F130" s="2">
        <f t="shared" ca="1" si="14"/>
        <v>3.2</v>
      </c>
      <c r="G130" s="2">
        <f t="shared" ca="1" si="15"/>
        <v>3706</v>
      </c>
      <c r="H130" s="2" t="str">
        <f t="shared" ca="1" si="16"/>
        <v>In Stock</v>
      </c>
      <c r="I130" s="2">
        <f t="shared" ca="1" si="17"/>
        <v>38</v>
      </c>
    </row>
    <row r="131" spans="1:9" x14ac:dyDescent="0.25">
      <c r="A131" s="2" t="str">
        <f t="shared" ref="A131:A194" si="18">"P"&amp;ROW()-1</f>
        <v>P130</v>
      </c>
      <c r="B131" s="2" t="str">
        <f t="shared" ref="B131:B194" ca="1" si="19">IF(RAND()&lt;0.5,"Amazon","Flipkart")</f>
        <v>Flipkart</v>
      </c>
      <c r="C131" s="2" t="str">
        <f t="shared" ref="C131:C194" ca="1" si="20">CHOOSE(RANDBETWEEN(1,5),"Electronics","Fashion","Home &amp; Kitchen","Beauty","Sports")</f>
        <v>Electronics</v>
      </c>
      <c r="D131" s="2" t="str">
        <f t="shared" ref="D131:D194" si="21">"Product_"&amp;ROW()-1</f>
        <v>Product_130</v>
      </c>
      <c r="E131" s="2">
        <f t="shared" ref="E131:E194" ca="1" si="22">RANDBETWEEN(100,80000)</f>
        <v>72308</v>
      </c>
      <c r="F131" s="2">
        <f t="shared" ref="F131:F194" ca="1" si="23">ROUND(RAND()*2.5+2.5,1)</f>
        <v>4</v>
      </c>
      <c r="G131" s="2">
        <f t="shared" ref="G131:G194" ca="1" si="24">RANDBETWEEN(10,5000)</f>
        <v>211</v>
      </c>
      <c r="H131" s="2" t="str">
        <f t="shared" ref="H131:H194" ca="1" si="25">IF(RAND()&lt;0.8,"In Stock","Out of Stock")</f>
        <v>In Stock</v>
      </c>
      <c r="I131" s="2">
        <f t="shared" ref="I131:I194" ca="1" si="26">RANDBETWEEN(5,60)</f>
        <v>28</v>
      </c>
    </row>
    <row r="132" spans="1:9" x14ac:dyDescent="0.25">
      <c r="A132" s="2" t="str">
        <f t="shared" si="18"/>
        <v>P131</v>
      </c>
      <c r="B132" s="2" t="str">
        <f t="shared" ca="1" si="19"/>
        <v>Amazon</v>
      </c>
      <c r="C132" s="2" t="str">
        <f t="shared" ca="1" si="20"/>
        <v>Fashion</v>
      </c>
      <c r="D132" s="2" t="str">
        <f t="shared" si="21"/>
        <v>Product_131</v>
      </c>
      <c r="E132" s="2">
        <f t="shared" ca="1" si="22"/>
        <v>26403</v>
      </c>
      <c r="F132" s="2">
        <f t="shared" ca="1" si="23"/>
        <v>4.5</v>
      </c>
      <c r="G132" s="2">
        <f t="shared" ca="1" si="24"/>
        <v>4504</v>
      </c>
      <c r="H132" s="2" t="str">
        <f t="shared" ca="1" si="25"/>
        <v>In Stock</v>
      </c>
      <c r="I132" s="2">
        <f t="shared" ca="1" si="26"/>
        <v>47</v>
      </c>
    </row>
    <row r="133" spans="1:9" x14ac:dyDescent="0.25">
      <c r="A133" s="2" t="str">
        <f t="shared" si="18"/>
        <v>P132</v>
      </c>
      <c r="B133" s="2" t="str">
        <f t="shared" ca="1" si="19"/>
        <v>Flipkart</v>
      </c>
      <c r="C133" s="2" t="str">
        <f t="shared" ca="1" si="20"/>
        <v>Beauty</v>
      </c>
      <c r="D133" s="2" t="str">
        <f t="shared" si="21"/>
        <v>Product_132</v>
      </c>
      <c r="E133" s="2">
        <f t="shared" ca="1" si="22"/>
        <v>24725</v>
      </c>
      <c r="F133" s="2">
        <f t="shared" ca="1" si="23"/>
        <v>4.2</v>
      </c>
      <c r="G133" s="2">
        <f t="shared" ca="1" si="24"/>
        <v>169</v>
      </c>
      <c r="H133" s="2" t="str">
        <f t="shared" ca="1" si="25"/>
        <v>In Stock</v>
      </c>
      <c r="I133" s="2">
        <f t="shared" ca="1" si="26"/>
        <v>59</v>
      </c>
    </row>
    <row r="134" spans="1:9" x14ac:dyDescent="0.25">
      <c r="A134" s="2" t="str">
        <f t="shared" si="18"/>
        <v>P133</v>
      </c>
      <c r="B134" s="2" t="str">
        <f t="shared" ca="1" si="19"/>
        <v>Flipkart</v>
      </c>
      <c r="C134" s="2" t="str">
        <f t="shared" ca="1" si="20"/>
        <v>Beauty</v>
      </c>
      <c r="D134" s="2" t="str">
        <f t="shared" si="21"/>
        <v>Product_133</v>
      </c>
      <c r="E134" s="2">
        <f t="shared" ca="1" si="22"/>
        <v>53028</v>
      </c>
      <c r="F134" s="2">
        <f t="shared" ca="1" si="23"/>
        <v>4.7</v>
      </c>
      <c r="G134" s="2">
        <f t="shared" ca="1" si="24"/>
        <v>4336</v>
      </c>
      <c r="H134" s="2" t="str">
        <f t="shared" ca="1" si="25"/>
        <v>In Stock</v>
      </c>
      <c r="I134" s="2">
        <f t="shared" ca="1" si="26"/>
        <v>27</v>
      </c>
    </row>
    <row r="135" spans="1:9" x14ac:dyDescent="0.25">
      <c r="A135" s="2" t="str">
        <f t="shared" si="18"/>
        <v>P134</v>
      </c>
      <c r="B135" s="2" t="str">
        <f t="shared" ca="1" si="19"/>
        <v>Flipkart</v>
      </c>
      <c r="C135" s="2" t="str">
        <f t="shared" ca="1" si="20"/>
        <v>Beauty</v>
      </c>
      <c r="D135" s="2" t="str">
        <f t="shared" si="21"/>
        <v>Product_134</v>
      </c>
      <c r="E135" s="2">
        <f t="shared" ca="1" si="22"/>
        <v>71342</v>
      </c>
      <c r="F135" s="2">
        <f t="shared" ca="1" si="23"/>
        <v>4</v>
      </c>
      <c r="G135" s="2">
        <f t="shared" ca="1" si="24"/>
        <v>2677</v>
      </c>
      <c r="H135" s="2" t="str">
        <f t="shared" ca="1" si="25"/>
        <v>In Stock</v>
      </c>
      <c r="I135" s="2">
        <f t="shared" ca="1" si="26"/>
        <v>60</v>
      </c>
    </row>
    <row r="136" spans="1:9" x14ac:dyDescent="0.25">
      <c r="A136" s="2" t="str">
        <f t="shared" si="18"/>
        <v>P135</v>
      </c>
      <c r="B136" s="2" t="str">
        <f t="shared" ca="1" si="19"/>
        <v>Amazon</v>
      </c>
      <c r="C136" s="2" t="str">
        <f t="shared" ca="1" si="20"/>
        <v>Electronics</v>
      </c>
      <c r="D136" s="2" t="str">
        <f t="shared" si="21"/>
        <v>Product_135</v>
      </c>
      <c r="E136" s="2">
        <f t="shared" ca="1" si="22"/>
        <v>39048</v>
      </c>
      <c r="F136" s="2">
        <f t="shared" ca="1" si="23"/>
        <v>3.4</v>
      </c>
      <c r="G136" s="2">
        <f t="shared" ca="1" si="24"/>
        <v>2321</v>
      </c>
      <c r="H136" s="2" t="str">
        <f t="shared" ca="1" si="25"/>
        <v>In Stock</v>
      </c>
      <c r="I136" s="2">
        <f t="shared" ca="1" si="26"/>
        <v>57</v>
      </c>
    </row>
    <row r="137" spans="1:9" x14ac:dyDescent="0.25">
      <c r="A137" s="2" t="str">
        <f t="shared" si="18"/>
        <v>P136</v>
      </c>
      <c r="B137" s="2" t="str">
        <f t="shared" ca="1" si="19"/>
        <v>Flipkart</v>
      </c>
      <c r="C137" s="2" t="str">
        <f t="shared" ca="1" si="20"/>
        <v>Electronics</v>
      </c>
      <c r="D137" s="2" t="str">
        <f t="shared" si="21"/>
        <v>Product_136</v>
      </c>
      <c r="E137" s="2">
        <f t="shared" ca="1" si="22"/>
        <v>27151</v>
      </c>
      <c r="F137" s="2">
        <f t="shared" ca="1" si="23"/>
        <v>4.0999999999999996</v>
      </c>
      <c r="G137" s="2">
        <f t="shared" ca="1" si="24"/>
        <v>4670</v>
      </c>
      <c r="H137" s="2" t="str">
        <f t="shared" ca="1" si="25"/>
        <v>In Stock</v>
      </c>
      <c r="I137" s="2">
        <f t="shared" ca="1" si="26"/>
        <v>34</v>
      </c>
    </row>
    <row r="138" spans="1:9" x14ac:dyDescent="0.25">
      <c r="A138" s="2" t="str">
        <f t="shared" si="18"/>
        <v>P137</v>
      </c>
      <c r="B138" s="2" t="str">
        <f t="shared" ca="1" si="19"/>
        <v>Flipkart</v>
      </c>
      <c r="C138" s="2" t="str">
        <f t="shared" ca="1" si="20"/>
        <v>Electronics</v>
      </c>
      <c r="D138" s="2" t="str">
        <f t="shared" si="21"/>
        <v>Product_137</v>
      </c>
      <c r="E138" s="2">
        <f t="shared" ca="1" si="22"/>
        <v>77206</v>
      </c>
      <c r="F138" s="2">
        <f t="shared" ca="1" si="23"/>
        <v>4.7</v>
      </c>
      <c r="G138" s="2">
        <f t="shared" ca="1" si="24"/>
        <v>2673</v>
      </c>
      <c r="H138" s="2" t="str">
        <f t="shared" ca="1" si="25"/>
        <v>In Stock</v>
      </c>
      <c r="I138" s="2">
        <f t="shared" ca="1" si="26"/>
        <v>59</v>
      </c>
    </row>
    <row r="139" spans="1:9" x14ac:dyDescent="0.25">
      <c r="A139" s="2" t="str">
        <f t="shared" si="18"/>
        <v>P138</v>
      </c>
      <c r="B139" s="2" t="str">
        <f t="shared" ca="1" si="19"/>
        <v>Flipkart</v>
      </c>
      <c r="C139" s="2" t="str">
        <f t="shared" ca="1" si="20"/>
        <v>Beauty</v>
      </c>
      <c r="D139" s="2" t="str">
        <f t="shared" si="21"/>
        <v>Product_138</v>
      </c>
      <c r="E139" s="2">
        <f t="shared" ca="1" si="22"/>
        <v>40193</v>
      </c>
      <c r="F139" s="2">
        <f t="shared" ca="1" si="23"/>
        <v>4.5999999999999996</v>
      </c>
      <c r="G139" s="2">
        <f t="shared" ca="1" si="24"/>
        <v>1263</v>
      </c>
      <c r="H139" s="2" t="str">
        <f t="shared" ca="1" si="25"/>
        <v>In Stock</v>
      </c>
      <c r="I139" s="2">
        <f t="shared" ca="1" si="26"/>
        <v>18</v>
      </c>
    </row>
    <row r="140" spans="1:9" x14ac:dyDescent="0.25">
      <c r="A140" s="2" t="str">
        <f t="shared" si="18"/>
        <v>P139</v>
      </c>
      <c r="B140" s="2" t="str">
        <f t="shared" ca="1" si="19"/>
        <v>Amazon</v>
      </c>
      <c r="C140" s="2" t="str">
        <f t="shared" ca="1" si="20"/>
        <v>Electronics</v>
      </c>
      <c r="D140" s="2" t="str">
        <f t="shared" si="21"/>
        <v>Product_139</v>
      </c>
      <c r="E140" s="2">
        <f t="shared" ca="1" si="22"/>
        <v>67583</v>
      </c>
      <c r="F140" s="2">
        <f t="shared" ca="1" si="23"/>
        <v>4.3</v>
      </c>
      <c r="G140" s="2">
        <f t="shared" ca="1" si="24"/>
        <v>2254</v>
      </c>
      <c r="H140" s="2" t="str">
        <f t="shared" ca="1" si="25"/>
        <v>Out of Stock</v>
      </c>
      <c r="I140" s="2">
        <f t="shared" ca="1" si="26"/>
        <v>33</v>
      </c>
    </row>
    <row r="141" spans="1:9" x14ac:dyDescent="0.25">
      <c r="A141" s="2" t="str">
        <f t="shared" si="18"/>
        <v>P140</v>
      </c>
      <c r="B141" s="2" t="str">
        <f t="shared" ca="1" si="19"/>
        <v>Flipkart</v>
      </c>
      <c r="C141" s="2" t="str">
        <f t="shared" ca="1" si="20"/>
        <v>Home &amp; Kitchen</v>
      </c>
      <c r="D141" s="2" t="str">
        <f t="shared" si="21"/>
        <v>Product_140</v>
      </c>
      <c r="E141" s="2">
        <f t="shared" ca="1" si="22"/>
        <v>68148</v>
      </c>
      <c r="F141" s="2">
        <f t="shared" ca="1" si="23"/>
        <v>5</v>
      </c>
      <c r="G141" s="2">
        <f t="shared" ca="1" si="24"/>
        <v>3790</v>
      </c>
      <c r="H141" s="2" t="str">
        <f t="shared" ca="1" si="25"/>
        <v>In Stock</v>
      </c>
      <c r="I141" s="2">
        <f t="shared" ca="1" si="26"/>
        <v>52</v>
      </c>
    </row>
    <row r="142" spans="1:9" x14ac:dyDescent="0.25">
      <c r="A142" s="2" t="str">
        <f t="shared" si="18"/>
        <v>P141</v>
      </c>
      <c r="B142" s="2" t="str">
        <f t="shared" ca="1" si="19"/>
        <v>Flipkart</v>
      </c>
      <c r="C142" s="2" t="str">
        <f t="shared" ca="1" si="20"/>
        <v>Fashion</v>
      </c>
      <c r="D142" s="2" t="str">
        <f t="shared" si="21"/>
        <v>Product_141</v>
      </c>
      <c r="E142" s="2">
        <f t="shared" ca="1" si="22"/>
        <v>62189</v>
      </c>
      <c r="F142" s="2">
        <f t="shared" ca="1" si="23"/>
        <v>5</v>
      </c>
      <c r="G142" s="2">
        <f t="shared" ca="1" si="24"/>
        <v>520</v>
      </c>
      <c r="H142" s="2" t="str">
        <f t="shared" ca="1" si="25"/>
        <v>In Stock</v>
      </c>
      <c r="I142" s="2">
        <f t="shared" ca="1" si="26"/>
        <v>22</v>
      </c>
    </row>
    <row r="143" spans="1:9" x14ac:dyDescent="0.25">
      <c r="A143" s="2" t="str">
        <f t="shared" si="18"/>
        <v>P142</v>
      </c>
      <c r="B143" s="2" t="str">
        <f t="shared" ca="1" si="19"/>
        <v>Flipkart</v>
      </c>
      <c r="C143" s="2" t="str">
        <f t="shared" ca="1" si="20"/>
        <v>Electronics</v>
      </c>
      <c r="D143" s="2" t="str">
        <f t="shared" si="21"/>
        <v>Product_142</v>
      </c>
      <c r="E143" s="2">
        <f t="shared" ca="1" si="22"/>
        <v>4071</v>
      </c>
      <c r="F143" s="2">
        <f t="shared" ca="1" si="23"/>
        <v>3.6</v>
      </c>
      <c r="G143" s="2">
        <f t="shared" ca="1" si="24"/>
        <v>3615</v>
      </c>
      <c r="H143" s="2" t="str">
        <f t="shared" ca="1" si="25"/>
        <v>In Stock</v>
      </c>
      <c r="I143" s="2">
        <f t="shared" ca="1" si="26"/>
        <v>44</v>
      </c>
    </row>
    <row r="144" spans="1:9" x14ac:dyDescent="0.25">
      <c r="A144" s="2" t="str">
        <f t="shared" si="18"/>
        <v>P143</v>
      </c>
      <c r="B144" s="2" t="str">
        <f t="shared" ca="1" si="19"/>
        <v>Flipkart</v>
      </c>
      <c r="C144" s="2" t="str">
        <f t="shared" ca="1" si="20"/>
        <v>Home &amp; Kitchen</v>
      </c>
      <c r="D144" s="2" t="str">
        <f t="shared" si="21"/>
        <v>Product_143</v>
      </c>
      <c r="E144" s="2">
        <f t="shared" ca="1" si="22"/>
        <v>19113</v>
      </c>
      <c r="F144" s="2">
        <f t="shared" ca="1" si="23"/>
        <v>4.8</v>
      </c>
      <c r="G144" s="2">
        <f t="shared" ca="1" si="24"/>
        <v>717</v>
      </c>
      <c r="H144" s="2" t="str">
        <f t="shared" ca="1" si="25"/>
        <v>In Stock</v>
      </c>
      <c r="I144" s="2">
        <f t="shared" ca="1" si="26"/>
        <v>29</v>
      </c>
    </row>
    <row r="145" spans="1:9" x14ac:dyDescent="0.25">
      <c r="A145" s="2" t="str">
        <f t="shared" si="18"/>
        <v>P144</v>
      </c>
      <c r="B145" s="2" t="str">
        <f t="shared" ca="1" si="19"/>
        <v>Flipkart</v>
      </c>
      <c r="C145" s="2" t="str">
        <f t="shared" ca="1" si="20"/>
        <v>Home &amp; Kitchen</v>
      </c>
      <c r="D145" s="2" t="str">
        <f t="shared" si="21"/>
        <v>Product_144</v>
      </c>
      <c r="E145" s="2">
        <f t="shared" ca="1" si="22"/>
        <v>30355</v>
      </c>
      <c r="F145" s="2">
        <f t="shared" ca="1" si="23"/>
        <v>2.7</v>
      </c>
      <c r="G145" s="2">
        <f t="shared" ca="1" si="24"/>
        <v>1265</v>
      </c>
      <c r="H145" s="2" t="str">
        <f t="shared" ca="1" si="25"/>
        <v>In Stock</v>
      </c>
      <c r="I145" s="2">
        <f t="shared" ca="1" si="26"/>
        <v>54</v>
      </c>
    </row>
    <row r="146" spans="1:9" x14ac:dyDescent="0.25">
      <c r="A146" s="2" t="str">
        <f t="shared" si="18"/>
        <v>P145</v>
      </c>
      <c r="B146" s="2" t="str">
        <f t="shared" ca="1" si="19"/>
        <v>Flipkart</v>
      </c>
      <c r="C146" s="2" t="str">
        <f t="shared" ca="1" si="20"/>
        <v>Sports</v>
      </c>
      <c r="D146" s="2" t="str">
        <f t="shared" si="21"/>
        <v>Product_145</v>
      </c>
      <c r="E146" s="2">
        <f t="shared" ca="1" si="22"/>
        <v>40108</v>
      </c>
      <c r="F146" s="2">
        <f t="shared" ca="1" si="23"/>
        <v>3</v>
      </c>
      <c r="G146" s="2">
        <f t="shared" ca="1" si="24"/>
        <v>2683</v>
      </c>
      <c r="H146" s="2" t="str">
        <f t="shared" ca="1" si="25"/>
        <v>In Stock</v>
      </c>
      <c r="I146" s="2">
        <f t="shared" ca="1" si="26"/>
        <v>18</v>
      </c>
    </row>
    <row r="147" spans="1:9" x14ac:dyDescent="0.25">
      <c r="A147" s="2" t="str">
        <f t="shared" si="18"/>
        <v>P146</v>
      </c>
      <c r="B147" s="2" t="str">
        <f t="shared" ca="1" si="19"/>
        <v>Flipkart</v>
      </c>
      <c r="C147" s="2" t="str">
        <f t="shared" ca="1" si="20"/>
        <v>Sports</v>
      </c>
      <c r="D147" s="2" t="str">
        <f t="shared" si="21"/>
        <v>Product_146</v>
      </c>
      <c r="E147" s="2">
        <f t="shared" ca="1" si="22"/>
        <v>19776</v>
      </c>
      <c r="F147" s="2">
        <f t="shared" ca="1" si="23"/>
        <v>2.9</v>
      </c>
      <c r="G147" s="2">
        <f t="shared" ca="1" si="24"/>
        <v>523</v>
      </c>
      <c r="H147" s="2" t="str">
        <f t="shared" ca="1" si="25"/>
        <v>In Stock</v>
      </c>
      <c r="I147" s="2">
        <f t="shared" ca="1" si="26"/>
        <v>21</v>
      </c>
    </row>
    <row r="148" spans="1:9" x14ac:dyDescent="0.25">
      <c r="A148" s="2" t="str">
        <f t="shared" si="18"/>
        <v>P147</v>
      </c>
      <c r="B148" s="2" t="str">
        <f t="shared" ca="1" si="19"/>
        <v>Flipkart</v>
      </c>
      <c r="C148" s="2" t="str">
        <f t="shared" ca="1" si="20"/>
        <v>Electronics</v>
      </c>
      <c r="D148" s="2" t="str">
        <f t="shared" si="21"/>
        <v>Product_147</v>
      </c>
      <c r="E148" s="2">
        <f t="shared" ca="1" si="22"/>
        <v>37069</v>
      </c>
      <c r="F148" s="2">
        <f t="shared" ca="1" si="23"/>
        <v>3.7</v>
      </c>
      <c r="G148" s="2">
        <f t="shared" ca="1" si="24"/>
        <v>552</v>
      </c>
      <c r="H148" s="2" t="str">
        <f t="shared" ca="1" si="25"/>
        <v>Out of Stock</v>
      </c>
      <c r="I148" s="2">
        <f t="shared" ca="1" si="26"/>
        <v>29</v>
      </c>
    </row>
    <row r="149" spans="1:9" x14ac:dyDescent="0.25">
      <c r="A149" s="2" t="str">
        <f t="shared" si="18"/>
        <v>P148</v>
      </c>
      <c r="B149" s="2" t="str">
        <f t="shared" ca="1" si="19"/>
        <v>Flipkart</v>
      </c>
      <c r="C149" s="2" t="str">
        <f t="shared" ca="1" si="20"/>
        <v>Home &amp; Kitchen</v>
      </c>
      <c r="D149" s="2" t="str">
        <f t="shared" si="21"/>
        <v>Product_148</v>
      </c>
      <c r="E149" s="2">
        <f t="shared" ca="1" si="22"/>
        <v>27967</v>
      </c>
      <c r="F149" s="2">
        <f t="shared" ca="1" si="23"/>
        <v>4.7</v>
      </c>
      <c r="G149" s="2">
        <f t="shared" ca="1" si="24"/>
        <v>1210</v>
      </c>
      <c r="H149" s="2" t="str">
        <f t="shared" ca="1" si="25"/>
        <v>In Stock</v>
      </c>
      <c r="I149" s="2">
        <f t="shared" ca="1" si="26"/>
        <v>58</v>
      </c>
    </row>
    <row r="150" spans="1:9" x14ac:dyDescent="0.25">
      <c r="A150" s="2" t="str">
        <f t="shared" si="18"/>
        <v>P149</v>
      </c>
      <c r="B150" s="2" t="str">
        <f t="shared" ca="1" si="19"/>
        <v>Flipkart</v>
      </c>
      <c r="C150" s="2" t="str">
        <f t="shared" ca="1" si="20"/>
        <v>Beauty</v>
      </c>
      <c r="D150" s="2" t="str">
        <f t="shared" si="21"/>
        <v>Product_149</v>
      </c>
      <c r="E150" s="2">
        <f t="shared" ca="1" si="22"/>
        <v>39600</v>
      </c>
      <c r="F150" s="2">
        <f t="shared" ca="1" si="23"/>
        <v>2.8</v>
      </c>
      <c r="G150" s="2">
        <f t="shared" ca="1" si="24"/>
        <v>233</v>
      </c>
      <c r="H150" s="2" t="str">
        <f t="shared" ca="1" si="25"/>
        <v>In Stock</v>
      </c>
      <c r="I150" s="2">
        <f t="shared" ca="1" si="26"/>
        <v>28</v>
      </c>
    </row>
    <row r="151" spans="1:9" x14ac:dyDescent="0.25">
      <c r="A151" s="2" t="str">
        <f t="shared" si="18"/>
        <v>P150</v>
      </c>
      <c r="B151" s="2" t="str">
        <f t="shared" ca="1" si="19"/>
        <v>Flipkart</v>
      </c>
      <c r="C151" s="2" t="str">
        <f t="shared" ca="1" si="20"/>
        <v>Fashion</v>
      </c>
      <c r="D151" s="2" t="str">
        <f t="shared" si="21"/>
        <v>Product_150</v>
      </c>
      <c r="E151" s="2">
        <f t="shared" ca="1" si="22"/>
        <v>6147</v>
      </c>
      <c r="F151" s="2">
        <f t="shared" ca="1" si="23"/>
        <v>3.3</v>
      </c>
      <c r="G151" s="2">
        <f t="shared" ca="1" si="24"/>
        <v>2660</v>
      </c>
      <c r="H151" s="2" t="str">
        <f t="shared" ca="1" si="25"/>
        <v>In Stock</v>
      </c>
      <c r="I151" s="2">
        <f t="shared" ca="1" si="26"/>
        <v>52</v>
      </c>
    </row>
    <row r="152" spans="1:9" x14ac:dyDescent="0.25">
      <c r="A152" s="2" t="str">
        <f t="shared" si="18"/>
        <v>P151</v>
      </c>
      <c r="B152" s="2" t="str">
        <f t="shared" ca="1" si="19"/>
        <v>Amazon</v>
      </c>
      <c r="C152" s="2" t="str">
        <f t="shared" ca="1" si="20"/>
        <v>Electronics</v>
      </c>
      <c r="D152" s="2" t="str">
        <f t="shared" si="21"/>
        <v>Product_151</v>
      </c>
      <c r="E152" s="2">
        <f t="shared" ca="1" si="22"/>
        <v>73391</v>
      </c>
      <c r="F152" s="2">
        <f t="shared" ca="1" si="23"/>
        <v>3.3</v>
      </c>
      <c r="G152" s="2">
        <f t="shared" ca="1" si="24"/>
        <v>3442</v>
      </c>
      <c r="H152" s="2" t="str">
        <f t="shared" ca="1" si="25"/>
        <v>In Stock</v>
      </c>
      <c r="I152" s="2">
        <f t="shared" ca="1" si="26"/>
        <v>57</v>
      </c>
    </row>
    <row r="153" spans="1:9" x14ac:dyDescent="0.25">
      <c r="A153" s="2" t="str">
        <f t="shared" si="18"/>
        <v>P152</v>
      </c>
      <c r="B153" s="2" t="str">
        <f t="shared" ca="1" si="19"/>
        <v>Amazon</v>
      </c>
      <c r="C153" s="2" t="str">
        <f t="shared" ca="1" si="20"/>
        <v>Electronics</v>
      </c>
      <c r="D153" s="2" t="str">
        <f t="shared" si="21"/>
        <v>Product_152</v>
      </c>
      <c r="E153" s="2">
        <f t="shared" ca="1" si="22"/>
        <v>55784</v>
      </c>
      <c r="F153" s="2">
        <f t="shared" ca="1" si="23"/>
        <v>3.4</v>
      </c>
      <c r="G153" s="2">
        <f t="shared" ca="1" si="24"/>
        <v>2927</v>
      </c>
      <c r="H153" s="2" t="str">
        <f t="shared" ca="1" si="25"/>
        <v>In Stock</v>
      </c>
      <c r="I153" s="2">
        <f t="shared" ca="1" si="26"/>
        <v>40</v>
      </c>
    </row>
    <row r="154" spans="1:9" x14ac:dyDescent="0.25">
      <c r="A154" s="2" t="str">
        <f t="shared" si="18"/>
        <v>P153</v>
      </c>
      <c r="B154" s="2" t="str">
        <f t="shared" ca="1" si="19"/>
        <v>Flipkart</v>
      </c>
      <c r="C154" s="2" t="str">
        <f t="shared" ca="1" si="20"/>
        <v>Beauty</v>
      </c>
      <c r="D154" s="2" t="str">
        <f t="shared" si="21"/>
        <v>Product_153</v>
      </c>
      <c r="E154" s="2">
        <f t="shared" ca="1" si="22"/>
        <v>76391</v>
      </c>
      <c r="F154" s="2">
        <f t="shared" ca="1" si="23"/>
        <v>4.5999999999999996</v>
      </c>
      <c r="G154" s="2">
        <f t="shared" ca="1" si="24"/>
        <v>1712</v>
      </c>
      <c r="H154" s="2" t="str">
        <f t="shared" ca="1" si="25"/>
        <v>In Stock</v>
      </c>
      <c r="I154" s="2">
        <f t="shared" ca="1" si="26"/>
        <v>17</v>
      </c>
    </row>
    <row r="155" spans="1:9" x14ac:dyDescent="0.25">
      <c r="A155" s="2" t="str">
        <f t="shared" si="18"/>
        <v>P154</v>
      </c>
      <c r="B155" s="2" t="str">
        <f t="shared" ca="1" si="19"/>
        <v>Amazon</v>
      </c>
      <c r="C155" s="2" t="str">
        <f t="shared" ca="1" si="20"/>
        <v>Sports</v>
      </c>
      <c r="D155" s="2" t="str">
        <f t="shared" si="21"/>
        <v>Product_154</v>
      </c>
      <c r="E155" s="2">
        <f t="shared" ca="1" si="22"/>
        <v>71185</v>
      </c>
      <c r="F155" s="2">
        <f t="shared" ca="1" si="23"/>
        <v>3.4</v>
      </c>
      <c r="G155" s="2">
        <f t="shared" ca="1" si="24"/>
        <v>4836</v>
      </c>
      <c r="H155" s="2" t="str">
        <f t="shared" ca="1" si="25"/>
        <v>Out of Stock</v>
      </c>
      <c r="I155" s="2">
        <f t="shared" ca="1" si="26"/>
        <v>24</v>
      </c>
    </row>
    <row r="156" spans="1:9" x14ac:dyDescent="0.25">
      <c r="A156" s="2" t="str">
        <f t="shared" si="18"/>
        <v>P155</v>
      </c>
      <c r="B156" s="2" t="str">
        <f t="shared" ca="1" si="19"/>
        <v>Flipkart</v>
      </c>
      <c r="C156" s="2" t="str">
        <f t="shared" ca="1" si="20"/>
        <v>Fashion</v>
      </c>
      <c r="D156" s="2" t="str">
        <f t="shared" si="21"/>
        <v>Product_155</v>
      </c>
      <c r="E156" s="2">
        <f t="shared" ca="1" si="22"/>
        <v>76230</v>
      </c>
      <c r="F156" s="2">
        <f t="shared" ca="1" si="23"/>
        <v>3.9</v>
      </c>
      <c r="G156" s="2">
        <f t="shared" ca="1" si="24"/>
        <v>4018</v>
      </c>
      <c r="H156" s="2" t="str">
        <f t="shared" ca="1" si="25"/>
        <v>In Stock</v>
      </c>
      <c r="I156" s="2">
        <f t="shared" ca="1" si="26"/>
        <v>37</v>
      </c>
    </row>
    <row r="157" spans="1:9" x14ac:dyDescent="0.25">
      <c r="A157" s="2" t="str">
        <f t="shared" si="18"/>
        <v>P156</v>
      </c>
      <c r="B157" s="2" t="str">
        <f t="shared" ca="1" si="19"/>
        <v>Flipkart</v>
      </c>
      <c r="C157" s="2" t="str">
        <f t="shared" ca="1" si="20"/>
        <v>Beauty</v>
      </c>
      <c r="D157" s="2" t="str">
        <f t="shared" si="21"/>
        <v>Product_156</v>
      </c>
      <c r="E157" s="2">
        <f t="shared" ca="1" si="22"/>
        <v>64545</v>
      </c>
      <c r="F157" s="2">
        <f t="shared" ca="1" si="23"/>
        <v>4.5</v>
      </c>
      <c r="G157" s="2">
        <f t="shared" ca="1" si="24"/>
        <v>3991</v>
      </c>
      <c r="H157" s="2" t="str">
        <f t="shared" ca="1" si="25"/>
        <v>In Stock</v>
      </c>
      <c r="I157" s="2">
        <f t="shared" ca="1" si="26"/>
        <v>31</v>
      </c>
    </row>
    <row r="158" spans="1:9" x14ac:dyDescent="0.25">
      <c r="A158" s="2" t="str">
        <f t="shared" si="18"/>
        <v>P157</v>
      </c>
      <c r="B158" s="2" t="str">
        <f t="shared" ca="1" si="19"/>
        <v>Flipkart</v>
      </c>
      <c r="C158" s="2" t="str">
        <f t="shared" ca="1" si="20"/>
        <v>Home &amp; Kitchen</v>
      </c>
      <c r="D158" s="2" t="str">
        <f t="shared" si="21"/>
        <v>Product_157</v>
      </c>
      <c r="E158" s="2">
        <f t="shared" ca="1" si="22"/>
        <v>38827</v>
      </c>
      <c r="F158" s="2">
        <f t="shared" ca="1" si="23"/>
        <v>4.7</v>
      </c>
      <c r="G158" s="2">
        <f t="shared" ca="1" si="24"/>
        <v>1086</v>
      </c>
      <c r="H158" s="2" t="str">
        <f t="shared" ca="1" si="25"/>
        <v>Out of Stock</v>
      </c>
      <c r="I158" s="2">
        <f t="shared" ca="1" si="26"/>
        <v>23</v>
      </c>
    </row>
    <row r="159" spans="1:9" x14ac:dyDescent="0.25">
      <c r="A159" s="2" t="str">
        <f t="shared" si="18"/>
        <v>P158</v>
      </c>
      <c r="B159" s="2" t="str">
        <f t="shared" ca="1" si="19"/>
        <v>Amazon</v>
      </c>
      <c r="C159" s="2" t="str">
        <f t="shared" ca="1" si="20"/>
        <v>Beauty</v>
      </c>
      <c r="D159" s="2" t="str">
        <f t="shared" si="21"/>
        <v>Product_158</v>
      </c>
      <c r="E159" s="2">
        <f t="shared" ca="1" si="22"/>
        <v>3140</v>
      </c>
      <c r="F159" s="2">
        <f t="shared" ca="1" si="23"/>
        <v>4.7</v>
      </c>
      <c r="G159" s="2">
        <f t="shared" ca="1" si="24"/>
        <v>1819</v>
      </c>
      <c r="H159" s="2" t="str">
        <f t="shared" ca="1" si="25"/>
        <v>Out of Stock</v>
      </c>
      <c r="I159" s="2">
        <f t="shared" ca="1" si="26"/>
        <v>17</v>
      </c>
    </row>
    <row r="160" spans="1:9" x14ac:dyDescent="0.25">
      <c r="A160" s="2" t="str">
        <f t="shared" si="18"/>
        <v>P159</v>
      </c>
      <c r="B160" s="2" t="str">
        <f t="shared" ca="1" si="19"/>
        <v>Amazon</v>
      </c>
      <c r="C160" s="2" t="str">
        <f t="shared" ca="1" si="20"/>
        <v>Electronics</v>
      </c>
      <c r="D160" s="2" t="str">
        <f t="shared" si="21"/>
        <v>Product_159</v>
      </c>
      <c r="E160" s="2">
        <f t="shared" ca="1" si="22"/>
        <v>70320</v>
      </c>
      <c r="F160" s="2">
        <f t="shared" ca="1" si="23"/>
        <v>4.0999999999999996</v>
      </c>
      <c r="G160" s="2">
        <f t="shared" ca="1" si="24"/>
        <v>3903</v>
      </c>
      <c r="H160" s="2" t="str">
        <f t="shared" ca="1" si="25"/>
        <v>In Stock</v>
      </c>
      <c r="I160" s="2">
        <f t="shared" ca="1" si="26"/>
        <v>8</v>
      </c>
    </row>
    <row r="161" spans="1:9" x14ac:dyDescent="0.25">
      <c r="A161" s="2" t="str">
        <f t="shared" si="18"/>
        <v>P160</v>
      </c>
      <c r="B161" s="2" t="str">
        <f t="shared" ca="1" si="19"/>
        <v>Amazon</v>
      </c>
      <c r="C161" s="2" t="str">
        <f t="shared" ca="1" si="20"/>
        <v>Home &amp; Kitchen</v>
      </c>
      <c r="D161" s="2" t="str">
        <f t="shared" si="21"/>
        <v>Product_160</v>
      </c>
      <c r="E161" s="2">
        <f t="shared" ca="1" si="22"/>
        <v>18797</v>
      </c>
      <c r="F161" s="2">
        <f t="shared" ca="1" si="23"/>
        <v>4.7</v>
      </c>
      <c r="G161" s="2">
        <f t="shared" ca="1" si="24"/>
        <v>4949</v>
      </c>
      <c r="H161" s="2" t="str">
        <f t="shared" ca="1" si="25"/>
        <v>In Stock</v>
      </c>
      <c r="I161" s="2">
        <f t="shared" ca="1" si="26"/>
        <v>37</v>
      </c>
    </row>
    <row r="162" spans="1:9" x14ac:dyDescent="0.25">
      <c r="A162" s="2" t="str">
        <f t="shared" si="18"/>
        <v>P161</v>
      </c>
      <c r="B162" s="2" t="str">
        <f t="shared" ca="1" si="19"/>
        <v>Flipkart</v>
      </c>
      <c r="C162" s="2" t="str">
        <f t="shared" ca="1" si="20"/>
        <v>Beauty</v>
      </c>
      <c r="D162" s="2" t="str">
        <f t="shared" si="21"/>
        <v>Product_161</v>
      </c>
      <c r="E162" s="2">
        <f t="shared" ca="1" si="22"/>
        <v>35295</v>
      </c>
      <c r="F162" s="2">
        <f t="shared" ca="1" si="23"/>
        <v>3.9</v>
      </c>
      <c r="G162" s="2">
        <f t="shared" ca="1" si="24"/>
        <v>34</v>
      </c>
      <c r="H162" s="2" t="str">
        <f t="shared" ca="1" si="25"/>
        <v>In Stock</v>
      </c>
      <c r="I162" s="2">
        <f t="shared" ca="1" si="26"/>
        <v>48</v>
      </c>
    </row>
    <row r="163" spans="1:9" x14ac:dyDescent="0.25">
      <c r="A163" s="2" t="str">
        <f t="shared" si="18"/>
        <v>P162</v>
      </c>
      <c r="B163" s="2" t="str">
        <f t="shared" ca="1" si="19"/>
        <v>Flipkart</v>
      </c>
      <c r="C163" s="2" t="str">
        <f t="shared" ca="1" si="20"/>
        <v>Home &amp; Kitchen</v>
      </c>
      <c r="D163" s="2" t="str">
        <f t="shared" si="21"/>
        <v>Product_162</v>
      </c>
      <c r="E163" s="2">
        <f t="shared" ca="1" si="22"/>
        <v>44992</v>
      </c>
      <c r="F163" s="2">
        <f t="shared" ca="1" si="23"/>
        <v>4.0999999999999996</v>
      </c>
      <c r="G163" s="2">
        <f t="shared" ca="1" si="24"/>
        <v>2395</v>
      </c>
      <c r="H163" s="2" t="str">
        <f t="shared" ca="1" si="25"/>
        <v>In Stock</v>
      </c>
      <c r="I163" s="2">
        <f t="shared" ca="1" si="26"/>
        <v>23</v>
      </c>
    </row>
    <row r="164" spans="1:9" x14ac:dyDescent="0.25">
      <c r="A164" s="2" t="str">
        <f t="shared" si="18"/>
        <v>P163</v>
      </c>
      <c r="B164" s="2" t="str">
        <f t="shared" ca="1" si="19"/>
        <v>Flipkart</v>
      </c>
      <c r="C164" s="2" t="str">
        <f t="shared" ca="1" si="20"/>
        <v>Beauty</v>
      </c>
      <c r="D164" s="2" t="str">
        <f t="shared" si="21"/>
        <v>Product_163</v>
      </c>
      <c r="E164" s="2">
        <f t="shared" ca="1" si="22"/>
        <v>73431</v>
      </c>
      <c r="F164" s="2">
        <f t="shared" ca="1" si="23"/>
        <v>4.5</v>
      </c>
      <c r="G164" s="2">
        <f t="shared" ca="1" si="24"/>
        <v>1296</v>
      </c>
      <c r="H164" s="2" t="str">
        <f t="shared" ca="1" si="25"/>
        <v>In Stock</v>
      </c>
      <c r="I164" s="2">
        <f t="shared" ca="1" si="26"/>
        <v>46</v>
      </c>
    </row>
    <row r="165" spans="1:9" x14ac:dyDescent="0.25">
      <c r="A165" s="2" t="str">
        <f t="shared" si="18"/>
        <v>P164</v>
      </c>
      <c r="B165" s="2" t="str">
        <f t="shared" ca="1" si="19"/>
        <v>Amazon</v>
      </c>
      <c r="C165" s="2" t="str">
        <f t="shared" ca="1" si="20"/>
        <v>Sports</v>
      </c>
      <c r="D165" s="2" t="str">
        <f t="shared" si="21"/>
        <v>Product_164</v>
      </c>
      <c r="E165" s="2">
        <f t="shared" ca="1" si="22"/>
        <v>14009</v>
      </c>
      <c r="F165" s="2">
        <f t="shared" ca="1" si="23"/>
        <v>2.6</v>
      </c>
      <c r="G165" s="2">
        <f t="shared" ca="1" si="24"/>
        <v>850</v>
      </c>
      <c r="H165" s="2" t="str">
        <f t="shared" ca="1" si="25"/>
        <v>In Stock</v>
      </c>
      <c r="I165" s="2">
        <f t="shared" ca="1" si="26"/>
        <v>16</v>
      </c>
    </row>
    <row r="166" spans="1:9" x14ac:dyDescent="0.25">
      <c r="A166" s="2" t="str">
        <f t="shared" si="18"/>
        <v>P165</v>
      </c>
      <c r="B166" s="2" t="str">
        <f t="shared" ca="1" si="19"/>
        <v>Amazon</v>
      </c>
      <c r="C166" s="2" t="str">
        <f t="shared" ca="1" si="20"/>
        <v>Home &amp; Kitchen</v>
      </c>
      <c r="D166" s="2" t="str">
        <f t="shared" si="21"/>
        <v>Product_165</v>
      </c>
      <c r="E166" s="2">
        <f t="shared" ca="1" si="22"/>
        <v>58570</v>
      </c>
      <c r="F166" s="2">
        <f t="shared" ca="1" si="23"/>
        <v>3.2</v>
      </c>
      <c r="G166" s="2">
        <f t="shared" ca="1" si="24"/>
        <v>2373</v>
      </c>
      <c r="H166" s="2" t="str">
        <f t="shared" ca="1" si="25"/>
        <v>In Stock</v>
      </c>
      <c r="I166" s="2">
        <f t="shared" ca="1" si="26"/>
        <v>22</v>
      </c>
    </row>
    <row r="167" spans="1:9" x14ac:dyDescent="0.25">
      <c r="A167" s="2" t="str">
        <f t="shared" si="18"/>
        <v>P166</v>
      </c>
      <c r="B167" s="2" t="str">
        <f t="shared" ca="1" si="19"/>
        <v>Flipkart</v>
      </c>
      <c r="C167" s="2" t="str">
        <f t="shared" ca="1" si="20"/>
        <v>Home &amp; Kitchen</v>
      </c>
      <c r="D167" s="2" t="str">
        <f t="shared" si="21"/>
        <v>Product_166</v>
      </c>
      <c r="E167" s="2">
        <f t="shared" ca="1" si="22"/>
        <v>45633</v>
      </c>
      <c r="F167" s="2">
        <f t="shared" ca="1" si="23"/>
        <v>2.6</v>
      </c>
      <c r="G167" s="2">
        <f t="shared" ca="1" si="24"/>
        <v>182</v>
      </c>
      <c r="H167" s="2" t="str">
        <f t="shared" ca="1" si="25"/>
        <v>In Stock</v>
      </c>
      <c r="I167" s="2">
        <f t="shared" ca="1" si="26"/>
        <v>55</v>
      </c>
    </row>
    <row r="168" spans="1:9" x14ac:dyDescent="0.25">
      <c r="A168" s="2" t="str">
        <f t="shared" si="18"/>
        <v>P167</v>
      </c>
      <c r="B168" s="2" t="str">
        <f t="shared" ca="1" si="19"/>
        <v>Flipkart</v>
      </c>
      <c r="C168" s="2" t="str">
        <f t="shared" ca="1" si="20"/>
        <v>Fashion</v>
      </c>
      <c r="D168" s="2" t="str">
        <f t="shared" si="21"/>
        <v>Product_167</v>
      </c>
      <c r="E168" s="2">
        <f t="shared" ca="1" si="22"/>
        <v>57210</v>
      </c>
      <c r="F168" s="2">
        <f t="shared" ca="1" si="23"/>
        <v>3.4</v>
      </c>
      <c r="G168" s="2">
        <f t="shared" ca="1" si="24"/>
        <v>1590</v>
      </c>
      <c r="H168" s="2" t="str">
        <f t="shared" ca="1" si="25"/>
        <v>In Stock</v>
      </c>
      <c r="I168" s="2">
        <f t="shared" ca="1" si="26"/>
        <v>8</v>
      </c>
    </row>
    <row r="169" spans="1:9" x14ac:dyDescent="0.25">
      <c r="A169" s="2" t="str">
        <f t="shared" si="18"/>
        <v>P168</v>
      </c>
      <c r="B169" s="2" t="str">
        <f t="shared" ca="1" si="19"/>
        <v>Flipkart</v>
      </c>
      <c r="C169" s="2" t="str">
        <f t="shared" ca="1" si="20"/>
        <v>Fashion</v>
      </c>
      <c r="D169" s="2" t="str">
        <f t="shared" si="21"/>
        <v>Product_168</v>
      </c>
      <c r="E169" s="2">
        <f t="shared" ca="1" si="22"/>
        <v>15754</v>
      </c>
      <c r="F169" s="2">
        <f t="shared" ca="1" si="23"/>
        <v>4.7</v>
      </c>
      <c r="G169" s="2">
        <f t="shared" ca="1" si="24"/>
        <v>3267</v>
      </c>
      <c r="H169" s="2" t="str">
        <f t="shared" ca="1" si="25"/>
        <v>In Stock</v>
      </c>
      <c r="I169" s="2">
        <f t="shared" ca="1" si="26"/>
        <v>25</v>
      </c>
    </row>
    <row r="170" spans="1:9" x14ac:dyDescent="0.25">
      <c r="A170" s="2" t="str">
        <f t="shared" si="18"/>
        <v>P169</v>
      </c>
      <c r="B170" s="2" t="str">
        <f t="shared" ca="1" si="19"/>
        <v>Flipkart</v>
      </c>
      <c r="C170" s="2" t="str">
        <f t="shared" ca="1" si="20"/>
        <v>Electronics</v>
      </c>
      <c r="D170" s="2" t="str">
        <f t="shared" si="21"/>
        <v>Product_169</v>
      </c>
      <c r="E170" s="2">
        <f t="shared" ca="1" si="22"/>
        <v>45672</v>
      </c>
      <c r="F170" s="2">
        <f t="shared" ca="1" si="23"/>
        <v>3.6</v>
      </c>
      <c r="G170" s="2">
        <f t="shared" ca="1" si="24"/>
        <v>334</v>
      </c>
      <c r="H170" s="2" t="str">
        <f t="shared" ca="1" si="25"/>
        <v>Out of Stock</v>
      </c>
      <c r="I170" s="2">
        <f t="shared" ca="1" si="26"/>
        <v>37</v>
      </c>
    </row>
    <row r="171" spans="1:9" x14ac:dyDescent="0.25">
      <c r="A171" s="2" t="str">
        <f t="shared" si="18"/>
        <v>P170</v>
      </c>
      <c r="B171" s="2" t="str">
        <f t="shared" ca="1" si="19"/>
        <v>Amazon</v>
      </c>
      <c r="C171" s="2" t="str">
        <f t="shared" ca="1" si="20"/>
        <v>Sports</v>
      </c>
      <c r="D171" s="2" t="str">
        <f t="shared" si="21"/>
        <v>Product_170</v>
      </c>
      <c r="E171" s="2">
        <f t="shared" ca="1" si="22"/>
        <v>37031</v>
      </c>
      <c r="F171" s="2">
        <f t="shared" ca="1" si="23"/>
        <v>4.0999999999999996</v>
      </c>
      <c r="G171" s="2">
        <f t="shared" ca="1" si="24"/>
        <v>1150</v>
      </c>
      <c r="H171" s="2" t="str">
        <f t="shared" ca="1" si="25"/>
        <v>In Stock</v>
      </c>
      <c r="I171" s="2">
        <f t="shared" ca="1" si="26"/>
        <v>37</v>
      </c>
    </row>
    <row r="172" spans="1:9" x14ac:dyDescent="0.25">
      <c r="A172" s="2" t="str">
        <f t="shared" si="18"/>
        <v>P171</v>
      </c>
      <c r="B172" s="2" t="str">
        <f t="shared" ca="1" si="19"/>
        <v>Amazon</v>
      </c>
      <c r="C172" s="2" t="str">
        <f t="shared" ca="1" si="20"/>
        <v>Home &amp; Kitchen</v>
      </c>
      <c r="D172" s="2" t="str">
        <f t="shared" si="21"/>
        <v>Product_171</v>
      </c>
      <c r="E172" s="2">
        <f t="shared" ca="1" si="22"/>
        <v>40891</v>
      </c>
      <c r="F172" s="2">
        <f t="shared" ca="1" si="23"/>
        <v>3.5</v>
      </c>
      <c r="G172" s="2">
        <f t="shared" ca="1" si="24"/>
        <v>3640</v>
      </c>
      <c r="H172" s="2" t="str">
        <f t="shared" ca="1" si="25"/>
        <v>In Stock</v>
      </c>
      <c r="I172" s="2">
        <f t="shared" ca="1" si="26"/>
        <v>7</v>
      </c>
    </row>
    <row r="173" spans="1:9" x14ac:dyDescent="0.25">
      <c r="A173" s="2" t="str">
        <f t="shared" si="18"/>
        <v>P172</v>
      </c>
      <c r="B173" s="2" t="str">
        <f t="shared" ca="1" si="19"/>
        <v>Amazon</v>
      </c>
      <c r="C173" s="2" t="str">
        <f t="shared" ca="1" si="20"/>
        <v>Fashion</v>
      </c>
      <c r="D173" s="2" t="str">
        <f t="shared" si="21"/>
        <v>Product_172</v>
      </c>
      <c r="E173" s="2">
        <f t="shared" ca="1" si="22"/>
        <v>16253</v>
      </c>
      <c r="F173" s="2">
        <f t="shared" ca="1" si="23"/>
        <v>2.6</v>
      </c>
      <c r="G173" s="2">
        <f t="shared" ca="1" si="24"/>
        <v>3308</v>
      </c>
      <c r="H173" s="2" t="str">
        <f t="shared" ca="1" si="25"/>
        <v>Out of Stock</v>
      </c>
      <c r="I173" s="2">
        <f t="shared" ca="1" si="26"/>
        <v>52</v>
      </c>
    </row>
    <row r="174" spans="1:9" x14ac:dyDescent="0.25">
      <c r="A174" s="2" t="str">
        <f t="shared" si="18"/>
        <v>P173</v>
      </c>
      <c r="B174" s="2" t="str">
        <f t="shared" ca="1" si="19"/>
        <v>Amazon</v>
      </c>
      <c r="C174" s="2" t="str">
        <f t="shared" ca="1" si="20"/>
        <v>Electronics</v>
      </c>
      <c r="D174" s="2" t="str">
        <f t="shared" si="21"/>
        <v>Product_173</v>
      </c>
      <c r="E174" s="2">
        <f t="shared" ca="1" si="22"/>
        <v>26704</v>
      </c>
      <c r="F174" s="2">
        <f t="shared" ca="1" si="23"/>
        <v>4.5</v>
      </c>
      <c r="G174" s="2">
        <f t="shared" ca="1" si="24"/>
        <v>2426</v>
      </c>
      <c r="H174" s="2" t="str">
        <f t="shared" ca="1" si="25"/>
        <v>In Stock</v>
      </c>
      <c r="I174" s="2">
        <f t="shared" ca="1" si="26"/>
        <v>25</v>
      </c>
    </row>
    <row r="175" spans="1:9" x14ac:dyDescent="0.25">
      <c r="A175" s="2" t="str">
        <f t="shared" si="18"/>
        <v>P174</v>
      </c>
      <c r="B175" s="2" t="str">
        <f t="shared" ca="1" si="19"/>
        <v>Amazon</v>
      </c>
      <c r="C175" s="2" t="str">
        <f t="shared" ca="1" si="20"/>
        <v>Beauty</v>
      </c>
      <c r="D175" s="2" t="str">
        <f t="shared" si="21"/>
        <v>Product_174</v>
      </c>
      <c r="E175" s="2">
        <f t="shared" ca="1" si="22"/>
        <v>23700</v>
      </c>
      <c r="F175" s="2">
        <f t="shared" ca="1" si="23"/>
        <v>2.6</v>
      </c>
      <c r="G175" s="2">
        <f t="shared" ca="1" si="24"/>
        <v>866</v>
      </c>
      <c r="H175" s="2" t="str">
        <f t="shared" ca="1" si="25"/>
        <v>In Stock</v>
      </c>
      <c r="I175" s="2">
        <f t="shared" ca="1" si="26"/>
        <v>26</v>
      </c>
    </row>
    <row r="176" spans="1:9" x14ac:dyDescent="0.25">
      <c r="A176" s="2" t="str">
        <f t="shared" si="18"/>
        <v>P175</v>
      </c>
      <c r="B176" s="2" t="str">
        <f t="shared" ca="1" si="19"/>
        <v>Flipkart</v>
      </c>
      <c r="C176" s="2" t="str">
        <f t="shared" ca="1" si="20"/>
        <v>Sports</v>
      </c>
      <c r="D176" s="2" t="str">
        <f t="shared" si="21"/>
        <v>Product_175</v>
      </c>
      <c r="E176" s="2">
        <f t="shared" ca="1" si="22"/>
        <v>62128</v>
      </c>
      <c r="F176" s="2">
        <f t="shared" ca="1" si="23"/>
        <v>2.9</v>
      </c>
      <c r="G176" s="2">
        <f t="shared" ca="1" si="24"/>
        <v>4533</v>
      </c>
      <c r="H176" s="2" t="str">
        <f t="shared" ca="1" si="25"/>
        <v>Out of Stock</v>
      </c>
      <c r="I176" s="2">
        <f t="shared" ca="1" si="26"/>
        <v>36</v>
      </c>
    </row>
    <row r="177" spans="1:9" x14ac:dyDescent="0.25">
      <c r="A177" s="2" t="str">
        <f t="shared" si="18"/>
        <v>P176</v>
      </c>
      <c r="B177" s="2" t="str">
        <f t="shared" ca="1" si="19"/>
        <v>Amazon</v>
      </c>
      <c r="C177" s="2" t="str">
        <f t="shared" ca="1" si="20"/>
        <v>Sports</v>
      </c>
      <c r="D177" s="2" t="str">
        <f t="shared" si="21"/>
        <v>Product_176</v>
      </c>
      <c r="E177" s="2">
        <f t="shared" ca="1" si="22"/>
        <v>74743</v>
      </c>
      <c r="F177" s="2">
        <f t="shared" ca="1" si="23"/>
        <v>4.9000000000000004</v>
      </c>
      <c r="G177" s="2">
        <f t="shared" ca="1" si="24"/>
        <v>1834</v>
      </c>
      <c r="H177" s="2" t="str">
        <f t="shared" ca="1" si="25"/>
        <v>In Stock</v>
      </c>
      <c r="I177" s="2">
        <f t="shared" ca="1" si="26"/>
        <v>27</v>
      </c>
    </row>
    <row r="178" spans="1:9" x14ac:dyDescent="0.25">
      <c r="A178" s="2" t="str">
        <f t="shared" si="18"/>
        <v>P177</v>
      </c>
      <c r="B178" s="2" t="str">
        <f t="shared" ca="1" si="19"/>
        <v>Flipkart</v>
      </c>
      <c r="C178" s="2" t="str">
        <f t="shared" ca="1" si="20"/>
        <v>Fashion</v>
      </c>
      <c r="D178" s="2" t="str">
        <f t="shared" si="21"/>
        <v>Product_177</v>
      </c>
      <c r="E178" s="2">
        <f t="shared" ca="1" si="22"/>
        <v>2416</v>
      </c>
      <c r="F178" s="2">
        <f t="shared" ca="1" si="23"/>
        <v>3.4</v>
      </c>
      <c r="G178" s="2">
        <f t="shared" ca="1" si="24"/>
        <v>2092</v>
      </c>
      <c r="H178" s="2" t="str">
        <f t="shared" ca="1" si="25"/>
        <v>In Stock</v>
      </c>
      <c r="I178" s="2">
        <f t="shared" ca="1" si="26"/>
        <v>29</v>
      </c>
    </row>
    <row r="179" spans="1:9" x14ac:dyDescent="0.25">
      <c r="A179" s="2" t="str">
        <f t="shared" si="18"/>
        <v>P178</v>
      </c>
      <c r="B179" s="2" t="str">
        <f t="shared" ca="1" si="19"/>
        <v>Flipkart</v>
      </c>
      <c r="C179" s="2" t="str">
        <f t="shared" ca="1" si="20"/>
        <v>Home &amp; Kitchen</v>
      </c>
      <c r="D179" s="2" t="str">
        <f t="shared" si="21"/>
        <v>Product_178</v>
      </c>
      <c r="E179" s="2">
        <f t="shared" ca="1" si="22"/>
        <v>11699</v>
      </c>
      <c r="F179" s="2">
        <f t="shared" ca="1" si="23"/>
        <v>4.0999999999999996</v>
      </c>
      <c r="G179" s="2">
        <f t="shared" ca="1" si="24"/>
        <v>2946</v>
      </c>
      <c r="H179" s="2" t="str">
        <f t="shared" ca="1" si="25"/>
        <v>In Stock</v>
      </c>
      <c r="I179" s="2">
        <f t="shared" ca="1" si="26"/>
        <v>18</v>
      </c>
    </row>
    <row r="180" spans="1:9" x14ac:dyDescent="0.25">
      <c r="A180" s="2" t="str">
        <f t="shared" si="18"/>
        <v>P179</v>
      </c>
      <c r="B180" s="2" t="str">
        <f t="shared" ca="1" si="19"/>
        <v>Amazon</v>
      </c>
      <c r="C180" s="2" t="str">
        <f t="shared" ca="1" si="20"/>
        <v>Home &amp; Kitchen</v>
      </c>
      <c r="D180" s="2" t="str">
        <f t="shared" si="21"/>
        <v>Product_179</v>
      </c>
      <c r="E180" s="2">
        <f t="shared" ca="1" si="22"/>
        <v>39591</v>
      </c>
      <c r="F180" s="2">
        <f t="shared" ca="1" si="23"/>
        <v>3.2</v>
      </c>
      <c r="G180" s="2">
        <f t="shared" ca="1" si="24"/>
        <v>3605</v>
      </c>
      <c r="H180" s="2" t="str">
        <f t="shared" ca="1" si="25"/>
        <v>Out of Stock</v>
      </c>
      <c r="I180" s="2">
        <f t="shared" ca="1" si="26"/>
        <v>40</v>
      </c>
    </row>
    <row r="181" spans="1:9" x14ac:dyDescent="0.25">
      <c r="A181" s="2" t="str">
        <f t="shared" si="18"/>
        <v>P180</v>
      </c>
      <c r="B181" s="2" t="str">
        <f t="shared" ca="1" si="19"/>
        <v>Amazon</v>
      </c>
      <c r="C181" s="2" t="str">
        <f t="shared" ca="1" si="20"/>
        <v>Home &amp; Kitchen</v>
      </c>
      <c r="D181" s="2" t="str">
        <f t="shared" si="21"/>
        <v>Product_180</v>
      </c>
      <c r="E181" s="2">
        <f t="shared" ca="1" si="22"/>
        <v>78814</v>
      </c>
      <c r="F181" s="2">
        <f t="shared" ca="1" si="23"/>
        <v>4.2</v>
      </c>
      <c r="G181" s="2">
        <f t="shared" ca="1" si="24"/>
        <v>4104</v>
      </c>
      <c r="H181" s="2" t="str">
        <f t="shared" ca="1" si="25"/>
        <v>In Stock</v>
      </c>
      <c r="I181" s="2">
        <f t="shared" ca="1" si="26"/>
        <v>40</v>
      </c>
    </row>
    <row r="182" spans="1:9" x14ac:dyDescent="0.25">
      <c r="A182" s="2" t="str">
        <f t="shared" si="18"/>
        <v>P181</v>
      </c>
      <c r="B182" s="2" t="str">
        <f t="shared" ca="1" si="19"/>
        <v>Flipkart</v>
      </c>
      <c r="C182" s="2" t="str">
        <f t="shared" ca="1" si="20"/>
        <v>Sports</v>
      </c>
      <c r="D182" s="2" t="str">
        <f t="shared" si="21"/>
        <v>Product_181</v>
      </c>
      <c r="E182" s="2">
        <f t="shared" ca="1" si="22"/>
        <v>1146</v>
      </c>
      <c r="F182" s="2">
        <f t="shared" ca="1" si="23"/>
        <v>4.7</v>
      </c>
      <c r="G182" s="2">
        <f t="shared" ca="1" si="24"/>
        <v>1058</v>
      </c>
      <c r="H182" s="2" t="str">
        <f t="shared" ca="1" si="25"/>
        <v>In Stock</v>
      </c>
      <c r="I182" s="2">
        <f t="shared" ca="1" si="26"/>
        <v>22</v>
      </c>
    </row>
    <row r="183" spans="1:9" x14ac:dyDescent="0.25">
      <c r="A183" s="2" t="str">
        <f t="shared" si="18"/>
        <v>P182</v>
      </c>
      <c r="B183" s="2" t="str">
        <f t="shared" ca="1" si="19"/>
        <v>Amazon</v>
      </c>
      <c r="C183" s="2" t="str">
        <f t="shared" ca="1" si="20"/>
        <v>Home &amp; Kitchen</v>
      </c>
      <c r="D183" s="2" t="str">
        <f t="shared" si="21"/>
        <v>Product_182</v>
      </c>
      <c r="E183" s="2">
        <f t="shared" ca="1" si="22"/>
        <v>63883</v>
      </c>
      <c r="F183" s="2">
        <f t="shared" ca="1" si="23"/>
        <v>4.9000000000000004</v>
      </c>
      <c r="G183" s="2">
        <f t="shared" ca="1" si="24"/>
        <v>2007</v>
      </c>
      <c r="H183" s="2" t="str">
        <f t="shared" ca="1" si="25"/>
        <v>In Stock</v>
      </c>
      <c r="I183" s="2">
        <f t="shared" ca="1" si="26"/>
        <v>39</v>
      </c>
    </row>
    <row r="184" spans="1:9" x14ac:dyDescent="0.25">
      <c r="A184" s="2" t="str">
        <f t="shared" si="18"/>
        <v>P183</v>
      </c>
      <c r="B184" s="2" t="str">
        <f t="shared" ca="1" si="19"/>
        <v>Flipkart</v>
      </c>
      <c r="C184" s="2" t="str">
        <f t="shared" ca="1" si="20"/>
        <v>Beauty</v>
      </c>
      <c r="D184" s="2" t="str">
        <f t="shared" si="21"/>
        <v>Product_183</v>
      </c>
      <c r="E184" s="2">
        <f t="shared" ca="1" si="22"/>
        <v>62160</v>
      </c>
      <c r="F184" s="2">
        <f t="shared" ca="1" si="23"/>
        <v>4</v>
      </c>
      <c r="G184" s="2">
        <f t="shared" ca="1" si="24"/>
        <v>3761</v>
      </c>
      <c r="H184" s="2" t="str">
        <f t="shared" ca="1" si="25"/>
        <v>In Stock</v>
      </c>
      <c r="I184" s="2">
        <f t="shared" ca="1" si="26"/>
        <v>19</v>
      </c>
    </row>
    <row r="185" spans="1:9" x14ac:dyDescent="0.25">
      <c r="A185" s="2" t="str">
        <f t="shared" si="18"/>
        <v>P184</v>
      </c>
      <c r="B185" s="2" t="str">
        <f t="shared" ca="1" si="19"/>
        <v>Flipkart</v>
      </c>
      <c r="C185" s="2" t="str">
        <f t="shared" ca="1" si="20"/>
        <v>Home &amp; Kitchen</v>
      </c>
      <c r="D185" s="2" t="str">
        <f t="shared" si="21"/>
        <v>Product_184</v>
      </c>
      <c r="E185" s="2">
        <f t="shared" ca="1" si="22"/>
        <v>14506</v>
      </c>
      <c r="F185" s="2">
        <f t="shared" ca="1" si="23"/>
        <v>4</v>
      </c>
      <c r="G185" s="2">
        <f t="shared" ca="1" si="24"/>
        <v>111</v>
      </c>
      <c r="H185" s="2" t="str">
        <f t="shared" ca="1" si="25"/>
        <v>In Stock</v>
      </c>
      <c r="I185" s="2">
        <f t="shared" ca="1" si="26"/>
        <v>39</v>
      </c>
    </row>
    <row r="186" spans="1:9" x14ac:dyDescent="0.25">
      <c r="A186" s="2" t="str">
        <f t="shared" si="18"/>
        <v>P185</v>
      </c>
      <c r="B186" s="2" t="str">
        <f t="shared" ca="1" si="19"/>
        <v>Flipkart</v>
      </c>
      <c r="C186" s="2" t="str">
        <f t="shared" ca="1" si="20"/>
        <v>Electronics</v>
      </c>
      <c r="D186" s="2" t="str">
        <f t="shared" si="21"/>
        <v>Product_185</v>
      </c>
      <c r="E186" s="2">
        <f t="shared" ca="1" si="22"/>
        <v>76707</v>
      </c>
      <c r="F186" s="2">
        <f t="shared" ca="1" si="23"/>
        <v>4.9000000000000004</v>
      </c>
      <c r="G186" s="2">
        <f t="shared" ca="1" si="24"/>
        <v>2823</v>
      </c>
      <c r="H186" s="2" t="str">
        <f t="shared" ca="1" si="25"/>
        <v>In Stock</v>
      </c>
      <c r="I186" s="2">
        <f t="shared" ca="1" si="26"/>
        <v>42</v>
      </c>
    </row>
    <row r="187" spans="1:9" x14ac:dyDescent="0.25">
      <c r="A187" s="2" t="str">
        <f t="shared" si="18"/>
        <v>P186</v>
      </c>
      <c r="B187" s="2" t="str">
        <f t="shared" ca="1" si="19"/>
        <v>Flipkart</v>
      </c>
      <c r="C187" s="2" t="str">
        <f t="shared" ca="1" si="20"/>
        <v>Fashion</v>
      </c>
      <c r="D187" s="2" t="str">
        <f t="shared" si="21"/>
        <v>Product_186</v>
      </c>
      <c r="E187" s="2">
        <f t="shared" ca="1" si="22"/>
        <v>76776</v>
      </c>
      <c r="F187" s="2">
        <f t="shared" ca="1" si="23"/>
        <v>3.5</v>
      </c>
      <c r="G187" s="2">
        <f t="shared" ca="1" si="24"/>
        <v>544</v>
      </c>
      <c r="H187" s="2" t="str">
        <f t="shared" ca="1" si="25"/>
        <v>In Stock</v>
      </c>
      <c r="I187" s="2">
        <f t="shared" ca="1" si="26"/>
        <v>60</v>
      </c>
    </row>
    <row r="188" spans="1:9" x14ac:dyDescent="0.25">
      <c r="A188" s="2" t="str">
        <f t="shared" si="18"/>
        <v>P187</v>
      </c>
      <c r="B188" s="2" t="str">
        <f t="shared" ca="1" si="19"/>
        <v>Amazon</v>
      </c>
      <c r="C188" s="2" t="str">
        <f t="shared" ca="1" si="20"/>
        <v>Electronics</v>
      </c>
      <c r="D188" s="2" t="str">
        <f t="shared" si="21"/>
        <v>Product_187</v>
      </c>
      <c r="E188" s="2">
        <f t="shared" ca="1" si="22"/>
        <v>12273</v>
      </c>
      <c r="F188" s="2">
        <f t="shared" ca="1" si="23"/>
        <v>4.4000000000000004</v>
      </c>
      <c r="G188" s="2">
        <f t="shared" ca="1" si="24"/>
        <v>2537</v>
      </c>
      <c r="H188" s="2" t="str">
        <f t="shared" ca="1" si="25"/>
        <v>Out of Stock</v>
      </c>
      <c r="I188" s="2">
        <f t="shared" ca="1" si="26"/>
        <v>14</v>
      </c>
    </row>
    <row r="189" spans="1:9" x14ac:dyDescent="0.25">
      <c r="A189" s="2" t="str">
        <f t="shared" si="18"/>
        <v>P188</v>
      </c>
      <c r="B189" s="2" t="str">
        <f t="shared" ca="1" si="19"/>
        <v>Flipkart</v>
      </c>
      <c r="C189" s="2" t="str">
        <f t="shared" ca="1" si="20"/>
        <v>Beauty</v>
      </c>
      <c r="D189" s="2" t="str">
        <f t="shared" si="21"/>
        <v>Product_188</v>
      </c>
      <c r="E189" s="2">
        <f t="shared" ca="1" si="22"/>
        <v>40737</v>
      </c>
      <c r="F189" s="2">
        <f t="shared" ca="1" si="23"/>
        <v>2.6</v>
      </c>
      <c r="G189" s="2">
        <f t="shared" ca="1" si="24"/>
        <v>2629</v>
      </c>
      <c r="H189" s="2" t="str">
        <f t="shared" ca="1" si="25"/>
        <v>In Stock</v>
      </c>
      <c r="I189" s="2">
        <f t="shared" ca="1" si="26"/>
        <v>45</v>
      </c>
    </row>
    <row r="190" spans="1:9" x14ac:dyDescent="0.25">
      <c r="A190" s="2" t="str">
        <f t="shared" si="18"/>
        <v>P189</v>
      </c>
      <c r="B190" s="2" t="str">
        <f t="shared" ca="1" si="19"/>
        <v>Amazon</v>
      </c>
      <c r="C190" s="2" t="str">
        <f t="shared" ca="1" si="20"/>
        <v>Electronics</v>
      </c>
      <c r="D190" s="2" t="str">
        <f t="shared" si="21"/>
        <v>Product_189</v>
      </c>
      <c r="E190" s="2">
        <f t="shared" ca="1" si="22"/>
        <v>74781</v>
      </c>
      <c r="F190" s="2">
        <f t="shared" ca="1" si="23"/>
        <v>4.4000000000000004</v>
      </c>
      <c r="G190" s="2">
        <f t="shared" ca="1" si="24"/>
        <v>1663</v>
      </c>
      <c r="H190" s="2" t="str">
        <f t="shared" ca="1" si="25"/>
        <v>In Stock</v>
      </c>
      <c r="I190" s="2">
        <f t="shared" ca="1" si="26"/>
        <v>13</v>
      </c>
    </row>
    <row r="191" spans="1:9" x14ac:dyDescent="0.25">
      <c r="A191" s="2" t="str">
        <f t="shared" si="18"/>
        <v>P190</v>
      </c>
      <c r="B191" s="2" t="str">
        <f t="shared" ca="1" si="19"/>
        <v>Flipkart</v>
      </c>
      <c r="C191" s="2" t="str">
        <f t="shared" ca="1" si="20"/>
        <v>Electronics</v>
      </c>
      <c r="D191" s="2" t="str">
        <f t="shared" si="21"/>
        <v>Product_190</v>
      </c>
      <c r="E191" s="2">
        <f t="shared" ca="1" si="22"/>
        <v>5194</v>
      </c>
      <c r="F191" s="2">
        <f t="shared" ca="1" si="23"/>
        <v>3.8</v>
      </c>
      <c r="G191" s="2">
        <f t="shared" ca="1" si="24"/>
        <v>1035</v>
      </c>
      <c r="H191" s="2" t="str">
        <f t="shared" ca="1" si="25"/>
        <v>In Stock</v>
      </c>
      <c r="I191" s="2">
        <f t="shared" ca="1" si="26"/>
        <v>37</v>
      </c>
    </row>
    <row r="192" spans="1:9" x14ac:dyDescent="0.25">
      <c r="A192" s="2" t="str">
        <f t="shared" si="18"/>
        <v>P191</v>
      </c>
      <c r="B192" s="2" t="str">
        <f t="shared" ca="1" si="19"/>
        <v>Flipkart</v>
      </c>
      <c r="C192" s="2" t="str">
        <f t="shared" ca="1" si="20"/>
        <v>Electronics</v>
      </c>
      <c r="D192" s="2" t="str">
        <f t="shared" si="21"/>
        <v>Product_191</v>
      </c>
      <c r="E192" s="2">
        <f t="shared" ca="1" si="22"/>
        <v>61248</v>
      </c>
      <c r="F192" s="2">
        <f t="shared" ca="1" si="23"/>
        <v>2.6</v>
      </c>
      <c r="G192" s="2">
        <f t="shared" ca="1" si="24"/>
        <v>3612</v>
      </c>
      <c r="H192" s="2" t="str">
        <f t="shared" ca="1" si="25"/>
        <v>In Stock</v>
      </c>
      <c r="I192" s="2">
        <f t="shared" ca="1" si="26"/>
        <v>22</v>
      </c>
    </row>
    <row r="193" spans="1:9" x14ac:dyDescent="0.25">
      <c r="A193" s="2" t="str">
        <f t="shared" si="18"/>
        <v>P192</v>
      </c>
      <c r="B193" s="2" t="str">
        <f t="shared" ca="1" si="19"/>
        <v>Amazon</v>
      </c>
      <c r="C193" s="2" t="str">
        <f t="shared" ca="1" si="20"/>
        <v>Home &amp; Kitchen</v>
      </c>
      <c r="D193" s="2" t="str">
        <f t="shared" si="21"/>
        <v>Product_192</v>
      </c>
      <c r="E193" s="2">
        <f t="shared" ca="1" si="22"/>
        <v>23480</v>
      </c>
      <c r="F193" s="2">
        <f t="shared" ca="1" si="23"/>
        <v>3.7</v>
      </c>
      <c r="G193" s="2">
        <f t="shared" ca="1" si="24"/>
        <v>1283</v>
      </c>
      <c r="H193" s="2" t="str">
        <f t="shared" ca="1" si="25"/>
        <v>In Stock</v>
      </c>
      <c r="I193" s="2">
        <f t="shared" ca="1" si="26"/>
        <v>20</v>
      </c>
    </row>
    <row r="194" spans="1:9" x14ac:dyDescent="0.25">
      <c r="A194" s="2" t="str">
        <f t="shared" si="18"/>
        <v>P193</v>
      </c>
      <c r="B194" s="2" t="str">
        <f t="shared" ca="1" si="19"/>
        <v>Amazon</v>
      </c>
      <c r="C194" s="2" t="str">
        <f t="shared" ca="1" si="20"/>
        <v>Fashion</v>
      </c>
      <c r="D194" s="2" t="str">
        <f t="shared" si="21"/>
        <v>Product_193</v>
      </c>
      <c r="E194" s="2">
        <f t="shared" ca="1" si="22"/>
        <v>65654</v>
      </c>
      <c r="F194" s="2">
        <f t="shared" ca="1" si="23"/>
        <v>4.5999999999999996</v>
      </c>
      <c r="G194" s="2">
        <f t="shared" ca="1" si="24"/>
        <v>909</v>
      </c>
      <c r="H194" s="2" t="str">
        <f t="shared" ca="1" si="25"/>
        <v>Out of Stock</v>
      </c>
      <c r="I194" s="2">
        <f t="shared" ca="1" si="26"/>
        <v>11</v>
      </c>
    </row>
    <row r="195" spans="1:9" x14ac:dyDescent="0.25">
      <c r="A195" s="2" t="str">
        <f t="shared" ref="A195:D251" si="27">"P"&amp;ROW()-1</f>
        <v>P194</v>
      </c>
      <c r="B195" s="2" t="str">
        <f t="shared" ref="B195:B251" ca="1" si="28">IF(RAND()&lt;0.5,"Amazon","Flipkart")</f>
        <v>Amazon</v>
      </c>
      <c r="C195" s="2" t="str">
        <f t="shared" ref="C195:C251" ca="1" si="29">CHOOSE(RANDBETWEEN(1,5),"Electronics","Fashion","Home &amp; Kitchen","Beauty","Sports")</f>
        <v>Beauty</v>
      </c>
      <c r="D195" s="2" t="str">
        <f t="shared" ref="D195:D251" si="30">"Product_"&amp;ROW()-1</f>
        <v>Product_194</v>
      </c>
      <c r="E195" s="2">
        <f t="shared" ref="E195:E251" ca="1" si="31">RANDBETWEEN(100,80000)</f>
        <v>31259</v>
      </c>
      <c r="F195" s="2">
        <f t="shared" ref="F195:F251" ca="1" si="32">ROUND(RAND()*2.5+2.5,1)</f>
        <v>2.8</v>
      </c>
      <c r="G195" s="2">
        <f t="shared" ref="G195:G251" ca="1" si="33">RANDBETWEEN(10,5000)</f>
        <v>2415</v>
      </c>
      <c r="H195" s="2" t="str">
        <f t="shared" ref="H195:H251" ca="1" si="34">IF(RAND()&lt;0.8,"In Stock","Out of Stock")</f>
        <v>Out of Stock</v>
      </c>
      <c r="I195" s="2">
        <f t="shared" ref="I195:I251" ca="1" si="35">RANDBETWEEN(5,60)</f>
        <v>25</v>
      </c>
    </row>
    <row r="196" spans="1:9" x14ac:dyDescent="0.25">
      <c r="A196" s="2" t="str">
        <f t="shared" si="27"/>
        <v>P195</v>
      </c>
      <c r="B196" s="2" t="str">
        <f t="shared" ca="1" si="28"/>
        <v>Amazon</v>
      </c>
      <c r="C196" s="2" t="str">
        <f t="shared" ca="1" si="29"/>
        <v>Beauty</v>
      </c>
      <c r="D196" s="2" t="str">
        <f t="shared" si="30"/>
        <v>Product_195</v>
      </c>
      <c r="E196" s="2">
        <f t="shared" ca="1" si="31"/>
        <v>38313</v>
      </c>
      <c r="F196" s="2">
        <f t="shared" ca="1" si="32"/>
        <v>2.8</v>
      </c>
      <c r="G196" s="2">
        <f t="shared" ca="1" si="33"/>
        <v>2033</v>
      </c>
      <c r="H196" s="2" t="str">
        <f t="shared" ca="1" si="34"/>
        <v>In Stock</v>
      </c>
      <c r="I196" s="2">
        <f t="shared" ca="1" si="35"/>
        <v>50</v>
      </c>
    </row>
    <row r="197" spans="1:9" x14ac:dyDescent="0.25">
      <c r="A197" s="2" t="str">
        <f t="shared" si="27"/>
        <v>P196</v>
      </c>
      <c r="B197" s="2" t="str">
        <f t="shared" ca="1" si="28"/>
        <v>Flipkart</v>
      </c>
      <c r="C197" s="2" t="str">
        <f t="shared" ca="1" si="29"/>
        <v>Fashion</v>
      </c>
      <c r="D197" s="2" t="str">
        <f t="shared" si="30"/>
        <v>Product_196</v>
      </c>
      <c r="E197" s="2">
        <f t="shared" ca="1" si="31"/>
        <v>64140</v>
      </c>
      <c r="F197" s="2">
        <f t="shared" ca="1" si="32"/>
        <v>2.8</v>
      </c>
      <c r="G197" s="2">
        <f t="shared" ca="1" si="33"/>
        <v>1815</v>
      </c>
      <c r="H197" s="2" t="str">
        <f t="shared" ca="1" si="34"/>
        <v>In Stock</v>
      </c>
      <c r="I197" s="2">
        <f t="shared" ca="1" si="35"/>
        <v>33</v>
      </c>
    </row>
    <row r="198" spans="1:9" x14ac:dyDescent="0.25">
      <c r="A198" s="2" t="str">
        <f t="shared" si="27"/>
        <v>P197</v>
      </c>
      <c r="B198" s="2" t="str">
        <f t="shared" ca="1" si="28"/>
        <v>Amazon</v>
      </c>
      <c r="C198" s="2" t="str">
        <f t="shared" ca="1" si="29"/>
        <v>Fashion</v>
      </c>
      <c r="D198" s="2" t="str">
        <f t="shared" si="30"/>
        <v>Product_197</v>
      </c>
      <c r="E198" s="2">
        <f t="shared" ca="1" si="31"/>
        <v>66448</v>
      </c>
      <c r="F198" s="2">
        <f t="shared" ca="1" si="32"/>
        <v>4.5</v>
      </c>
      <c r="G198" s="2">
        <f t="shared" ca="1" si="33"/>
        <v>3364</v>
      </c>
      <c r="H198" s="2" t="str">
        <f t="shared" ca="1" si="34"/>
        <v>In Stock</v>
      </c>
      <c r="I198" s="2">
        <f t="shared" ca="1" si="35"/>
        <v>9</v>
      </c>
    </row>
    <row r="199" spans="1:9" x14ac:dyDescent="0.25">
      <c r="A199" s="2" t="str">
        <f t="shared" si="27"/>
        <v>P198</v>
      </c>
      <c r="B199" s="2" t="str">
        <f t="shared" ca="1" si="28"/>
        <v>Amazon</v>
      </c>
      <c r="C199" s="2" t="str">
        <f t="shared" ca="1" si="29"/>
        <v>Home &amp; Kitchen</v>
      </c>
      <c r="D199" s="2" t="str">
        <f t="shared" si="30"/>
        <v>Product_198</v>
      </c>
      <c r="E199" s="2">
        <f t="shared" ca="1" si="31"/>
        <v>47477</v>
      </c>
      <c r="F199" s="2">
        <f t="shared" ca="1" si="32"/>
        <v>4.5</v>
      </c>
      <c r="G199" s="2">
        <f t="shared" ca="1" si="33"/>
        <v>874</v>
      </c>
      <c r="H199" s="2" t="str">
        <f t="shared" ca="1" si="34"/>
        <v>In Stock</v>
      </c>
      <c r="I199" s="2">
        <f t="shared" ca="1" si="35"/>
        <v>19</v>
      </c>
    </row>
    <row r="200" spans="1:9" x14ac:dyDescent="0.25">
      <c r="A200" s="2" t="str">
        <f t="shared" si="27"/>
        <v>P199</v>
      </c>
      <c r="B200" s="2" t="str">
        <f t="shared" ca="1" si="28"/>
        <v>Flipkart</v>
      </c>
      <c r="C200" s="2" t="str">
        <f t="shared" ca="1" si="29"/>
        <v>Electronics</v>
      </c>
      <c r="D200" s="2" t="str">
        <f t="shared" si="30"/>
        <v>Product_199</v>
      </c>
      <c r="E200" s="2">
        <f t="shared" ca="1" si="31"/>
        <v>3331</v>
      </c>
      <c r="F200" s="2">
        <f t="shared" ca="1" si="32"/>
        <v>4.2</v>
      </c>
      <c r="G200" s="2">
        <f t="shared" ca="1" si="33"/>
        <v>3573</v>
      </c>
      <c r="H200" s="2" t="str">
        <f t="shared" ca="1" si="34"/>
        <v>In Stock</v>
      </c>
      <c r="I200" s="2">
        <f t="shared" ca="1" si="35"/>
        <v>24</v>
      </c>
    </row>
    <row r="201" spans="1:9" x14ac:dyDescent="0.25">
      <c r="A201" s="2" t="str">
        <f t="shared" si="27"/>
        <v>P200</v>
      </c>
      <c r="B201" s="2" t="str">
        <f t="shared" ca="1" si="28"/>
        <v>Flipkart</v>
      </c>
      <c r="C201" s="2" t="str">
        <f t="shared" ca="1" si="29"/>
        <v>Beauty</v>
      </c>
      <c r="D201" s="2" t="str">
        <f t="shared" si="30"/>
        <v>Product_200</v>
      </c>
      <c r="E201" s="2">
        <f t="shared" ca="1" si="31"/>
        <v>5785</v>
      </c>
      <c r="F201" s="2">
        <f t="shared" ca="1" si="32"/>
        <v>4</v>
      </c>
      <c r="G201" s="2">
        <f t="shared" ca="1" si="33"/>
        <v>2534</v>
      </c>
      <c r="H201" s="2" t="str">
        <f t="shared" ca="1" si="34"/>
        <v>In Stock</v>
      </c>
      <c r="I201" s="2">
        <f t="shared" ca="1" si="35"/>
        <v>38</v>
      </c>
    </row>
    <row r="202" spans="1:9" x14ac:dyDescent="0.25">
      <c r="A202" s="2" t="str">
        <f t="shared" si="27"/>
        <v>P201</v>
      </c>
      <c r="B202" s="2" t="str">
        <f t="shared" ca="1" si="28"/>
        <v>Amazon</v>
      </c>
      <c r="C202" s="2" t="str">
        <f t="shared" ca="1" si="29"/>
        <v>Fashion</v>
      </c>
      <c r="D202" s="2" t="str">
        <f t="shared" si="30"/>
        <v>Product_201</v>
      </c>
      <c r="E202" s="2">
        <f t="shared" ca="1" si="31"/>
        <v>26244</v>
      </c>
      <c r="F202" s="2">
        <f t="shared" ca="1" si="32"/>
        <v>4.8</v>
      </c>
      <c r="G202" s="2">
        <f t="shared" ca="1" si="33"/>
        <v>2673</v>
      </c>
      <c r="H202" s="2" t="str">
        <f t="shared" ca="1" si="34"/>
        <v>In Stock</v>
      </c>
      <c r="I202" s="2">
        <f t="shared" ca="1" si="35"/>
        <v>36</v>
      </c>
    </row>
    <row r="203" spans="1:9" x14ac:dyDescent="0.25">
      <c r="A203" s="2" t="str">
        <f t="shared" si="27"/>
        <v>P202</v>
      </c>
      <c r="B203" s="2" t="str">
        <f t="shared" ca="1" si="28"/>
        <v>Flipkart</v>
      </c>
      <c r="C203" s="2" t="str">
        <f t="shared" ca="1" si="29"/>
        <v>Home &amp; Kitchen</v>
      </c>
      <c r="D203" s="2" t="str">
        <f t="shared" si="30"/>
        <v>Product_202</v>
      </c>
      <c r="E203" s="2">
        <f t="shared" ca="1" si="31"/>
        <v>56565</v>
      </c>
      <c r="F203" s="2">
        <f t="shared" ca="1" si="32"/>
        <v>2.5</v>
      </c>
      <c r="G203" s="2">
        <f t="shared" ca="1" si="33"/>
        <v>4761</v>
      </c>
      <c r="H203" s="2" t="str">
        <f t="shared" ca="1" si="34"/>
        <v>Out of Stock</v>
      </c>
      <c r="I203" s="2">
        <f t="shared" ca="1" si="35"/>
        <v>13</v>
      </c>
    </row>
    <row r="204" spans="1:9" x14ac:dyDescent="0.25">
      <c r="A204" s="2" t="str">
        <f t="shared" si="27"/>
        <v>P203</v>
      </c>
      <c r="B204" s="2" t="str">
        <f t="shared" ca="1" si="28"/>
        <v>Flipkart</v>
      </c>
      <c r="C204" s="2" t="str">
        <f t="shared" ca="1" si="29"/>
        <v>Home &amp; Kitchen</v>
      </c>
      <c r="D204" s="2" t="str">
        <f t="shared" si="30"/>
        <v>Product_203</v>
      </c>
      <c r="E204" s="2">
        <f t="shared" ca="1" si="31"/>
        <v>44257</v>
      </c>
      <c r="F204" s="2">
        <f t="shared" ca="1" si="32"/>
        <v>3.7</v>
      </c>
      <c r="G204" s="2">
        <f t="shared" ca="1" si="33"/>
        <v>3637</v>
      </c>
      <c r="H204" s="2" t="str">
        <f t="shared" ca="1" si="34"/>
        <v>In Stock</v>
      </c>
      <c r="I204" s="2">
        <f t="shared" ca="1" si="35"/>
        <v>50</v>
      </c>
    </row>
    <row r="205" spans="1:9" x14ac:dyDescent="0.25">
      <c r="A205" s="2" t="str">
        <f t="shared" si="27"/>
        <v>P204</v>
      </c>
      <c r="B205" s="2" t="str">
        <f t="shared" ca="1" si="28"/>
        <v>Amazon</v>
      </c>
      <c r="C205" s="2" t="str">
        <f t="shared" ca="1" si="29"/>
        <v>Home &amp; Kitchen</v>
      </c>
      <c r="D205" s="2" t="str">
        <f t="shared" si="30"/>
        <v>Product_204</v>
      </c>
      <c r="E205" s="2">
        <f t="shared" ca="1" si="31"/>
        <v>38705</v>
      </c>
      <c r="F205" s="2">
        <f t="shared" ca="1" si="32"/>
        <v>4.8</v>
      </c>
      <c r="G205" s="2">
        <f t="shared" ca="1" si="33"/>
        <v>491</v>
      </c>
      <c r="H205" s="2" t="str">
        <f t="shared" ca="1" si="34"/>
        <v>In Stock</v>
      </c>
      <c r="I205" s="2">
        <f t="shared" ca="1" si="35"/>
        <v>34</v>
      </c>
    </row>
    <row r="206" spans="1:9" x14ac:dyDescent="0.25">
      <c r="A206" s="2" t="str">
        <f t="shared" si="27"/>
        <v>P205</v>
      </c>
      <c r="B206" s="2" t="str">
        <f t="shared" ca="1" si="28"/>
        <v>Amazon</v>
      </c>
      <c r="C206" s="2" t="str">
        <f t="shared" ca="1" si="29"/>
        <v>Electronics</v>
      </c>
      <c r="D206" s="2" t="str">
        <f t="shared" si="30"/>
        <v>Product_205</v>
      </c>
      <c r="E206" s="2">
        <f t="shared" ca="1" si="31"/>
        <v>47984</v>
      </c>
      <c r="F206" s="2">
        <f t="shared" ca="1" si="32"/>
        <v>3.8</v>
      </c>
      <c r="G206" s="2">
        <f t="shared" ca="1" si="33"/>
        <v>4553</v>
      </c>
      <c r="H206" s="2" t="str">
        <f t="shared" ca="1" si="34"/>
        <v>In Stock</v>
      </c>
      <c r="I206" s="2">
        <f t="shared" ca="1" si="35"/>
        <v>22</v>
      </c>
    </row>
    <row r="207" spans="1:9" x14ac:dyDescent="0.25">
      <c r="A207" s="2" t="str">
        <f t="shared" si="27"/>
        <v>P206</v>
      </c>
      <c r="B207" s="2" t="str">
        <f t="shared" ca="1" si="28"/>
        <v>Amazon</v>
      </c>
      <c r="C207" s="2" t="str">
        <f t="shared" ca="1" si="29"/>
        <v>Electronics</v>
      </c>
      <c r="D207" s="2" t="str">
        <f t="shared" si="30"/>
        <v>Product_206</v>
      </c>
      <c r="E207" s="2">
        <f t="shared" ca="1" si="31"/>
        <v>42830</v>
      </c>
      <c r="F207" s="2">
        <f t="shared" ca="1" si="32"/>
        <v>4</v>
      </c>
      <c r="G207" s="2">
        <f t="shared" ca="1" si="33"/>
        <v>4032</v>
      </c>
      <c r="H207" s="2" t="str">
        <f t="shared" ca="1" si="34"/>
        <v>In Stock</v>
      </c>
      <c r="I207" s="2">
        <f t="shared" ca="1" si="35"/>
        <v>39</v>
      </c>
    </row>
    <row r="208" spans="1:9" x14ac:dyDescent="0.25">
      <c r="A208" s="2" t="str">
        <f t="shared" si="27"/>
        <v>P207</v>
      </c>
      <c r="B208" s="2" t="str">
        <f t="shared" ca="1" si="28"/>
        <v>Amazon</v>
      </c>
      <c r="C208" s="2" t="str">
        <f t="shared" ca="1" si="29"/>
        <v>Fashion</v>
      </c>
      <c r="D208" s="2" t="str">
        <f t="shared" si="30"/>
        <v>Product_207</v>
      </c>
      <c r="E208" s="2">
        <f t="shared" ca="1" si="31"/>
        <v>11518</v>
      </c>
      <c r="F208" s="2">
        <f t="shared" ca="1" si="32"/>
        <v>4.8</v>
      </c>
      <c r="G208" s="2">
        <f t="shared" ca="1" si="33"/>
        <v>404</v>
      </c>
      <c r="H208" s="2" t="str">
        <f t="shared" ca="1" si="34"/>
        <v>Out of Stock</v>
      </c>
      <c r="I208" s="2">
        <f t="shared" ca="1" si="35"/>
        <v>21</v>
      </c>
    </row>
    <row r="209" spans="1:9" x14ac:dyDescent="0.25">
      <c r="A209" s="2" t="str">
        <f t="shared" si="27"/>
        <v>P208</v>
      </c>
      <c r="B209" s="2" t="str">
        <f t="shared" ca="1" si="28"/>
        <v>Amazon</v>
      </c>
      <c r="C209" s="2" t="str">
        <f t="shared" ca="1" si="29"/>
        <v>Beauty</v>
      </c>
      <c r="D209" s="2" t="str">
        <f t="shared" si="30"/>
        <v>Product_208</v>
      </c>
      <c r="E209" s="2">
        <f t="shared" ca="1" si="31"/>
        <v>46088</v>
      </c>
      <c r="F209" s="2">
        <f t="shared" ca="1" si="32"/>
        <v>2.7</v>
      </c>
      <c r="G209" s="2">
        <f t="shared" ca="1" si="33"/>
        <v>257</v>
      </c>
      <c r="H209" s="2" t="str">
        <f t="shared" ca="1" si="34"/>
        <v>In Stock</v>
      </c>
      <c r="I209" s="2">
        <f t="shared" ca="1" si="35"/>
        <v>47</v>
      </c>
    </row>
    <row r="210" spans="1:9" x14ac:dyDescent="0.25">
      <c r="A210" s="2" t="str">
        <f t="shared" si="27"/>
        <v>P209</v>
      </c>
      <c r="B210" s="2" t="str">
        <f t="shared" ca="1" si="28"/>
        <v>Amazon</v>
      </c>
      <c r="C210" s="2" t="str">
        <f t="shared" ca="1" si="29"/>
        <v>Home &amp; Kitchen</v>
      </c>
      <c r="D210" s="2" t="str">
        <f t="shared" si="30"/>
        <v>Product_209</v>
      </c>
      <c r="E210" s="2">
        <f t="shared" ca="1" si="31"/>
        <v>32873</v>
      </c>
      <c r="F210" s="2">
        <f t="shared" ca="1" si="32"/>
        <v>2.8</v>
      </c>
      <c r="G210" s="2">
        <f t="shared" ca="1" si="33"/>
        <v>2095</v>
      </c>
      <c r="H210" s="2" t="str">
        <f t="shared" ca="1" si="34"/>
        <v>In Stock</v>
      </c>
      <c r="I210" s="2">
        <f t="shared" ca="1" si="35"/>
        <v>55</v>
      </c>
    </row>
    <row r="211" spans="1:9" x14ac:dyDescent="0.25">
      <c r="A211" s="2" t="str">
        <f t="shared" si="27"/>
        <v>P210</v>
      </c>
      <c r="B211" s="2" t="str">
        <f t="shared" ca="1" si="28"/>
        <v>Amazon</v>
      </c>
      <c r="C211" s="2" t="str">
        <f t="shared" ca="1" si="29"/>
        <v>Electronics</v>
      </c>
      <c r="D211" s="2" t="str">
        <f t="shared" si="30"/>
        <v>Product_210</v>
      </c>
      <c r="E211" s="2">
        <f t="shared" ca="1" si="31"/>
        <v>44407</v>
      </c>
      <c r="F211" s="2">
        <f t="shared" ca="1" si="32"/>
        <v>2.7</v>
      </c>
      <c r="G211" s="2">
        <f t="shared" ca="1" si="33"/>
        <v>2750</v>
      </c>
      <c r="H211" s="2" t="str">
        <f t="shared" ca="1" si="34"/>
        <v>Out of Stock</v>
      </c>
      <c r="I211" s="2">
        <f t="shared" ca="1" si="35"/>
        <v>27</v>
      </c>
    </row>
    <row r="212" spans="1:9" x14ac:dyDescent="0.25">
      <c r="A212" s="2" t="str">
        <f t="shared" si="27"/>
        <v>P211</v>
      </c>
      <c r="B212" s="2" t="str">
        <f t="shared" ca="1" si="28"/>
        <v>Amazon</v>
      </c>
      <c r="C212" s="2" t="str">
        <f t="shared" ca="1" si="29"/>
        <v>Fashion</v>
      </c>
      <c r="D212" s="2" t="str">
        <f t="shared" si="30"/>
        <v>Product_211</v>
      </c>
      <c r="E212" s="2">
        <f t="shared" ca="1" si="31"/>
        <v>22469</v>
      </c>
      <c r="F212" s="2">
        <f t="shared" ca="1" si="32"/>
        <v>3.8</v>
      </c>
      <c r="G212" s="2">
        <f t="shared" ca="1" si="33"/>
        <v>352</v>
      </c>
      <c r="H212" s="2" t="str">
        <f t="shared" ca="1" si="34"/>
        <v>In Stock</v>
      </c>
      <c r="I212" s="2">
        <f t="shared" ca="1" si="35"/>
        <v>35</v>
      </c>
    </row>
    <row r="213" spans="1:9" x14ac:dyDescent="0.25">
      <c r="A213" s="2" t="str">
        <f t="shared" si="27"/>
        <v>P212</v>
      </c>
      <c r="B213" s="2" t="str">
        <f t="shared" ca="1" si="28"/>
        <v>Amazon</v>
      </c>
      <c r="C213" s="2" t="str">
        <f t="shared" ca="1" si="29"/>
        <v>Beauty</v>
      </c>
      <c r="D213" s="2" t="str">
        <f t="shared" si="30"/>
        <v>Product_212</v>
      </c>
      <c r="E213" s="2">
        <f t="shared" ca="1" si="31"/>
        <v>38945</v>
      </c>
      <c r="F213" s="2">
        <f t="shared" ca="1" si="32"/>
        <v>3.8</v>
      </c>
      <c r="G213" s="2">
        <f t="shared" ca="1" si="33"/>
        <v>2983</v>
      </c>
      <c r="H213" s="2" t="str">
        <f t="shared" ca="1" si="34"/>
        <v>In Stock</v>
      </c>
      <c r="I213" s="2">
        <f t="shared" ca="1" si="35"/>
        <v>19</v>
      </c>
    </row>
    <row r="214" spans="1:9" x14ac:dyDescent="0.25">
      <c r="A214" s="2" t="str">
        <f t="shared" si="27"/>
        <v>P213</v>
      </c>
      <c r="B214" s="2" t="str">
        <f t="shared" ca="1" si="28"/>
        <v>Flipkart</v>
      </c>
      <c r="C214" s="2" t="str">
        <f t="shared" ca="1" si="29"/>
        <v>Home &amp; Kitchen</v>
      </c>
      <c r="D214" s="2" t="str">
        <f t="shared" si="30"/>
        <v>Product_213</v>
      </c>
      <c r="E214" s="2">
        <f t="shared" ca="1" si="31"/>
        <v>50979</v>
      </c>
      <c r="F214" s="2">
        <f t="shared" ca="1" si="32"/>
        <v>2.5</v>
      </c>
      <c r="G214" s="2">
        <f t="shared" ca="1" si="33"/>
        <v>4123</v>
      </c>
      <c r="H214" s="2" t="str">
        <f t="shared" ca="1" si="34"/>
        <v>In Stock</v>
      </c>
      <c r="I214" s="2">
        <f t="shared" ca="1" si="35"/>
        <v>44</v>
      </c>
    </row>
    <row r="215" spans="1:9" x14ac:dyDescent="0.25">
      <c r="A215" s="2" t="str">
        <f t="shared" si="27"/>
        <v>P214</v>
      </c>
      <c r="B215" s="2" t="str">
        <f t="shared" ca="1" si="28"/>
        <v>Amazon</v>
      </c>
      <c r="C215" s="2" t="str">
        <f t="shared" ca="1" si="29"/>
        <v>Fashion</v>
      </c>
      <c r="D215" s="2" t="str">
        <f t="shared" si="30"/>
        <v>Product_214</v>
      </c>
      <c r="E215" s="2">
        <f t="shared" ca="1" si="31"/>
        <v>70848</v>
      </c>
      <c r="F215" s="2">
        <f t="shared" ca="1" si="32"/>
        <v>3.5</v>
      </c>
      <c r="G215" s="2">
        <f t="shared" ca="1" si="33"/>
        <v>2545</v>
      </c>
      <c r="H215" s="2" t="str">
        <f t="shared" ca="1" si="34"/>
        <v>Out of Stock</v>
      </c>
      <c r="I215" s="2">
        <f t="shared" ca="1" si="35"/>
        <v>8</v>
      </c>
    </row>
    <row r="216" spans="1:9" x14ac:dyDescent="0.25">
      <c r="A216" s="2" t="str">
        <f t="shared" si="27"/>
        <v>P215</v>
      </c>
      <c r="B216" s="2" t="str">
        <f t="shared" ca="1" si="28"/>
        <v>Flipkart</v>
      </c>
      <c r="C216" s="2" t="str">
        <f t="shared" ca="1" si="29"/>
        <v>Fashion</v>
      </c>
      <c r="D216" s="2" t="str">
        <f t="shared" si="30"/>
        <v>Product_215</v>
      </c>
      <c r="E216" s="2">
        <f t="shared" ca="1" si="31"/>
        <v>31127</v>
      </c>
      <c r="F216" s="2">
        <f t="shared" ca="1" si="32"/>
        <v>3.3</v>
      </c>
      <c r="G216" s="2">
        <f t="shared" ca="1" si="33"/>
        <v>4367</v>
      </c>
      <c r="H216" s="2" t="str">
        <f t="shared" ca="1" si="34"/>
        <v>In Stock</v>
      </c>
      <c r="I216" s="2">
        <f t="shared" ca="1" si="35"/>
        <v>8</v>
      </c>
    </row>
    <row r="217" spans="1:9" x14ac:dyDescent="0.25">
      <c r="A217" s="2" t="str">
        <f t="shared" si="27"/>
        <v>P216</v>
      </c>
      <c r="B217" s="2" t="str">
        <f t="shared" ca="1" si="28"/>
        <v>Flipkart</v>
      </c>
      <c r="C217" s="2" t="str">
        <f t="shared" ca="1" si="29"/>
        <v>Home &amp; Kitchen</v>
      </c>
      <c r="D217" s="2" t="str">
        <f t="shared" si="30"/>
        <v>Product_216</v>
      </c>
      <c r="E217" s="2">
        <f t="shared" ca="1" si="31"/>
        <v>56602</v>
      </c>
      <c r="F217" s="2">
        <f t="shared" ca="1" si="32"/>
        <v>3.6</v>
      </c>
      <c r="G217" s="2">
        <f t="shared" ca="1" si="33"/>
        <v>1946</v>
      </c>
      <c r="H217" s="2" t="str">
        <f t="shared" ca="1" si="34"/>
        <v>In Stock</v>
      </c>
      <c r="I217" s="2">
        <f t="shared" ca="1" si="35"/>
        <v>16</v>
      </c>
    </row>
    <row r="218" spans="1:9" x14ac:dyDescent="0.25">
      <c r="A218" s="2" t="str">
        <f t="shared" si="27"/>
        <v>P217</v>
      </c>
      <c r="B218" s="2" t="str">
        <f t="shared" ca="1" si="28"/>
        <v>Flipkart</v>
      </c>
      <c r="C218" s="2" t="str">
        <f t="shared" ca="1" si="29"/>
        <v>Electronics</v>
      </c>
      <c r="D218" s="2" t="str">
        <f t="shared" si="30"/>
        <v>Product_217</v>
      </c>
      <c r="E218" s="2">
        <f t="shared" ca="1" si="31"/>
        <v>68518</v>
      </c>
      <c r="F218" s="2">
        <f t="shared" ca="1" si="32"/>
        <v>2.7</v>
      </c>
      <c r="G218" s="2">
        <f t="shared" ca="1" si="33"/>
        <v>3156</v>
      </c>
      <c r="H218" s="2" t="str">
        <f t="shared" ca="1" si="34"/>
        <v>In Stock</v>
      </c>
      <c r="I218" s="2">
        <f t="shared" ca="1" si="35"/>
        <v>23</v>
      </c>
    </row>
    <row r="219" spans="1:9" x14ac:dyDescent="0.25">
      <c r="A219" s="2" t="str">
        <f t="shared" si="27"/>
        <v>P218</v>
      </c>
      <c r="B219" s="2" t="str">
        <f t="shared" ca="1" si="28"/>
        <v>Flipkart</v>
      </c>
      <c r="C219" s="2" t="str">
        <f t="shared" ca="1" si="29"/>
        <v>Fashion</v>
      </c>
      <c r="D219" s="2" t="str">
        <f t="shared" si="30"/>
        <v>Product_218</v>
      </c>
      <c r="E219" s="2">
        <f t="shared" ca="1" si="31"/>
        <v>2751</v>
      </c>
      <c r="F219" s="2">
        <f t="shared" ca="1" si="32"/>
        <v>3.1</v>
      </c>
      <c r="G219" s="2">
        <f t="shared" ca="1" si="33"/>
        <v>3941</v>
      </c>
      <c r="H219" s="2" t="str">
        <f t="shared" ca="1" si="34"/>
        <v>In Stock</v>
      </c>
      <c r="I219" s="2">
        <f t="shared" ca="1" si="35"/>
        <v>50</v>
      </c>
    </row>
    <row r="220" spans="1:9" x14ac:dyDescent="0.25">
      <c r="A220" s="2" t="str">
        <f t="shared" si="27"/>
        <v>P219</v>
      </c>
      <c r="B220" s="2" t="str">
        <f t="shared" ca="1" si="28"/>
        <v>Flipkart</v>
      </c>
      <c r="C220" s="2" t="str">
        <f t="shared" ca="1" si="29"/>
        <v>Home &amp; Kitchen</v>
      </c>
      <c r="D220" s="2" t="str">
        <f t="shared" si="30"/>
        <v>Product_219</v>
      </c>
      <c r="E220" s="2">
        <f t="shared" ca="1" si="31"/>
        <v>33087</v>
      </c>
      <c r="F220" s="2">
        <f t="shared" ca="1" si="32"/>
        <v>4.7</v>
      </c>
      <c r="G220" s="2">
        <f t="shared" ca="1" si="33"/>
        <v>2179</v>
      </c>
      <c r="H220" s="2" t="str">
        <f t="shared" ca="1" si="34"/>
        <v>In Stock</v>
      </c>
      <c r="I220" s="2">
        <f t="shared" ca="1" si="35"/>
        <v>5</v>
      </c>
    </row>
    <row r="221" spans="1:9" x14ac:dyDescent="0.25">
      <c r="A221" s="2" t="str">
        <f t="shared" si="27"/>
        <v>P220</v>
      </c>
      <c r="B221" s="2" t="str">
        <f t="shared" ca="1" si="28"/>
        <v>Flipkart</v>
      </c>
      <c r="C221" s="2" t="str">
        <f t="shared" ca="1" si="29"/>
        <v>Sports</v>
      </c>
      <c r="D221" s="2" t="str">
        <f t="shared" si="30"/>
        <v>Product_220</v>
      </c>
      <c r="E221" s="2">
        <f t="shared" ca="1" si="31"/>
        <v>54083</v>
      </c>
      <c r="F221" s="2">
        <f t="shared" ca="1" si="32"/>
        <v>4.0999999999999996</v>
      </c>
      <c r="G221" s="2">
        <f t="shared" ca="1" si="33"/>
        <v>3618</v>
      </c>
      <c r="H221" s="2" t="str">
        <f t="shared" ca="1" si="34"/>
        <v>In Stock</v>
      </c>
      <c r="I221" s="2">
        <f t="shared" ca="1" si="35"/>
        <v>21</v>
      </c>
    </row>
    <row r="222" spans="1:9" x14ac:dyDescent="0.25">
      <c r="A222" s="2" t="str">
        <f t="shared" si="27"/>
        <v>P221</v>
      </c>
      <c r="B222" s="2" t="str">
        <f t="shared" ca="1" si="28"/>
        <v>Amazon</v>
      </c>
      <c r="C222" s="2" t="str">
        <f t="shared" ca="1" si="29"/>
        <v>Beauty</v>
      </c>
      <c r="D222" s="2" t="str">
        <f t="shared" si="30"/>
        <v>Product_221</v>
      </c>
      <c r="E222" s="2">
        <f t="shared" ca="1" si="31"/>
        <v>12655</v>
      </c>
      <c r="F222" s="2">
        <f t="shared" ca="1" si="32"/>
        <v>2.7</v>
      </c>
      <c r="G222" s="2">
        <f t="shared" ca="1" si="33"/>
        <v>4625</v>
      </c>
      <c r="H222" s="2" t="str">
        <f t="shared" ca="1" si="34"/>
        <v>In Stock</v>
      </c>
      <c r="I222" s="2">
        <f t="shared" ca="1" si="35"/>
        <v>60</v>
      </c>
    </row>
    <row r="223" spans="1:9" x14ac:dyDescent="0.25">
      <c r="A223" s="2" t="str">
        <f t="shared" si="27"/>
        <v>P222</v>
      </c>
      <c r="B223" s="2" t="str">
        <f t="shared" ca="1" si="28"/>
        <v>Amazon</v>
      </c>
      <c r="C223" s="2" t="str">
        <f t="shared" ca="1" si="29"/>
        <v>Beauty</v>
      </c>
      <c r="D223" s="2" t="str">
        <f t="shared" si="30"/>
        <v>Product_222</v>
      </c>
      <c r="E223" s="2">
        <f t="shared" ca="1" si="31"/>
        <v>37568</v>
      </c>
      <c r="F223" s="2">
        <f t="shared" ca="1" si="32"/>
        <v>4.5999999999999996</v>
      </c>
      <c r="G223" s="2">
        <f t="shared" ca="1" si="33"/>
        <v>4340</v>
      </c>
      <c r="H223" s="2" t="str">
        <f t="shared" ca="1" si="34"/>
        <v>In Stock</v>
      </c>
      <c r="I223" s="2">
        <f t="shared" ca="1" si="35"/>
        <v>24</v>
      </c>
    </row>
    <row r="224" spans="1:9" x14ac:dyDescent="0.25">
      <c r="A224" s="2" t="str">
        <f t="shared" si="27"/>
        <v>P223</v>
      </c>
      <c r="B224" s="2" t="str">
        <f t="shared" ca="1" si="28"/>
        <v>Flipkart</v>
      </c>
      <c r="C224" s="2" t="str">
        <f t="shared" ca="1" si="29"/>
        <v>Electronics</v>
      </c>
      <c r="D224" s="2" t="str">
        <f t="shared" si="30"/>
        <v>Product_223</v>
      </c>
      <c r="E224" s="2">
        <f t="shared" ca="1" si="31"/>
        <v>41539</v>
      </c>
      <c r="F224" s="2">
        <f t="shared" ca="1" si="32"/>
        <v>3.8</v>
      </c>
      <c r="G224" s="2">
        <f t="shared" ca="1" si="33"/>
        <v>3507</v>
      </c>
      <c r="H224" s="2" t="str">
        <f t="shared" ca="1" si="34"/>
        <v>Out of Stock</v>
      </c>
      <c r="I224" s="2">
        <f t="shared" ca="1" si="35"/>
        <v>54</v>
      </c>
    </row>
    <row r="225" spans="1:9" x14ac:dyDescent="0.25">
      <c r="A225" s="2" t="str">
        <f t="shared" si="27"/>
        <v>P224</v>
      </c>
      <c r="B225" s="2" t="str">
        <f t="shared" ca="1" si="28"/>
        <v>Amazon</v>
      </c>
      <c r="C225" s="2" t="str">
        <f t="shared" ca="1" si="29"/>
        <v>Electronics</v>
      </c>
      <c r="D225" s="2" t="str">
        <f t="shared" si="30"/>
        <v>Product_224</v>
      </c>
      <c r="E225" s="2">
        <f t="shared" ca="1" si="31"/>
        <v>66715</v>
      </c>
      <c r="F225" s="2">
        <f t="shared" ca="1" si="32"/>
        <v>3.6</v>
      </c>
      <c r="G225" s="2">
        <f t="shared" ca="1" si="33"/>
        <v>4713</v>
      </c>
      <c r="H225" s="2" t="str">
        <f t="shared" ca="1" si="34"/>
        <v>In Stock</v>
      </c>
      <c r="I225" s="2">
        <f t="shared" ca="1" si="35"/>
        <v>25</v>
      </c>
    </row>
    <row r="226" spans="1:9" x14ac:dyDescent="0.25">
      <c r="A226" s="2" t="str">
        <f t="shared" si="27"/>
        <v>P225</v>
      </c>
      <c r="B226" s="2" t="str">
        <f t="shared" ca="1" si="28"/>
        <v>Amazon</v>
      </c>
      <c r="C226" s="2" t="str">
        <f t="shared" ca="1" si="29"/>
        <v>Fashion</v>
      </c>
      <c r="D226" s="2" t="str">
        <f t="shared" si="30"/>
        <v>Product_225</v>
      </c>
      <c r="E226" s="2">
        <f t="shared" ca="1" si="31"/>
        <v>15477</v>
      </c>
      <c r="F226" s="2">
        <f t="shared" ca="1" si="32"/>
        <v>2.6</v>
      </c>
      <c r="G226" s="2">
        <f t="shared" ca="1" si="33"/>
        <v>2424</v>
      </c>
      <c r="H226" s="2" t="str">
        <f t="shared" ca="1" si="34"/>
        <v>In Stock</v>
      </c>
      <c r="I226" s="2">
        <f t="shared" ca="1" si="35"/>
        <v>13</v>
      </c>
    </row>
    <row r="227" spans="1:9" x14ac:dyDescent="0.25">
      <c r="A227" s="2" t="str">
        <f t="shared" si="27"/>
        <v>P226</v>
      </c>
      <c r="B227" s="2" t="str">
        <f t="shared" ca="1" si="28"/>
        <v>Amazon</v>
      </c>
      <c r="C227" s="2" t="str">
        <f t="shared" ca="1" si="29"/>
        <v>Home &amp; Kitchen</v>
      </c>
      <c r="D227" s="2" t="str">
        <f t="shared" si="30"/>
        <v>Product_226</v>
      </c>
      <c r="E227" s="2">
        <f t="shared" ca="1" si="31"/>
        <v>49137</v>
      </c>
      <c r="F227" s="2">
        <f t="shared" ca="1" si="32"/>
        <v>4.5</v>
      </c>
      <c r="G227" s="2">
        <f t="shared" ca="1" si="33"/>
        <v>1397</v>
      </c>
      <c r="H227" s="2" t="str">
        <f t="shared" ca="1" si="34"/>
        <v>In Stock</v>
      </c>
      <c r="I227" s="2">
        <f t="shared" ca="1" si="35"/>
        <v>37</v>
      </c>
    </row>
    <row r="228" spans="1:9" x14ac:dyDescent="0.25">
      <c r="A228" s="2" t="str">
        <f t="shared" si="27"/>
        <v>P227</v>
      </c>
      <c r="B228" s="2" t="str">
        <f t="shared" ca="1" si="28"/>
        <v>Amazon</v>
      </c>
      <c r="C228" s="2" t="str">
        <f t="shared" ca="1" si="29"/>
        <v>Home &amp; Kitchen</v>
      </c>
      <c r="D228" s="2" t="str">
        <f t="shared" si="30"/>
        <v>Product_227</v>
      </c>
      <c r="E228" s="2">
        <f t="shared" ca="1" si="31"/>
        <v>2726</v>
      </c>
      <c r="F228" s="2">
        <f t="shared" ca="1" si="32"/>
        <v>4.5999999999999996</v>
      </c>
      <c r="G228" s="2">
        <f t="shared" ca="1" si="33"/>
        <v>4535</v>
      </c>
      <c r="H228" s="2" t="str">
        <f t="shared" ca="1" si="34"/>
        <v>In Stock</v>
      </c>
      <c r="I228" s="2">
        <f t="shared" ca="1" si="35"/>
        <v>16</v>
      </c>
    </row>
    <row r="229" spans="1:9" x14ac:dyDescent="0.25">
      <c r="A229" s="2" t="str">
        <f t="shared" si="27"/>
        <v>P228</v>
      </c>
      <c r="B229" s="2" t="str">
        <f t="shared" ca="1" si="28"/>
        <v>Amazon</v>
      </c>
      <c r="C229" s="2" t="str">
        <f t="shared" ca="1" si="29"/>
        <v>Electronics</v>
      </c>
      <c r="D229" s="2" t="str">
        <f t="shared" si="30"/>
        <v>Product_228</v>
      </c>
      <c r="E229" s="2">
        <f t="shared" ca="1" si="31"/>
        <v>34807</v>
      </c>
      <c r="F229" s="2">
        <f t="shared" ca="1" si="32"/>
        <v>4.7</v>
      </c>
      <c r="G229" s="2">
        <f t="shared" ca="1" si="33"/>
        <v>159</v>
      </c>
      <c r="H229" s="2" t="str">
        <f t="shared" ca="1" si="34"/>
        <v>Out of Stock</v>
      </c>
      <c r="I229" s="2">
        <f t="shared" ca="1" si="35"/>
        <v>27</v>
      </c>
    </row>
    <row r="230" spans="1:9" x14ac:dyDescent="0.25">
      <c r="A230" s="2" t="str">
        <f t="shared" si="27"/>
        <v>P229</v>
      </c>
      <c r="B230" s="2" t="str">
        <f t="shared" ca="1" si="28"/>
        <v>Flipkart</v>
      </c>
      <c r="C230" s="2" t="str">
        <f t="shared" ca="1" si="29"/>
        <v>Home &amp; Kitchen</v>
      </c>
      <c r="D230" s="2" t="str">
        <f t="shared" si="30"/>
        <v>Product_229</v>
      </c>
      <c r="E230" s="2">
        <f t="shared" ca="1" si="31"/>
        <v>69844</v>
      </c>
      <c r="F230" s="2">
        <f t="shared" ca="1" si="32"/>
        <v>3.7</v>
      </c>
      <c r="G230" s="2">
        <f t="shared" ca="1" si="33"/>
        <v>3907</v>
      </c>
      <c r="H230" s="2" t="str">
        <f t="shared" ca="1" si="34"/>
        <v>In Stock</v>
      </c>
      <c r="I230" s="2">
        <f t="shared" ca="1" si="35"/>
        <v>34</v>
      </c>
    </row>
    <row r="231" spans="1:9" x14ac:dyDescent="0.25">
      <c r="A231" s="2" t="str">
        <f t="shared" si="27"/>
        <v>P230</v>
      </c>
      <c r="B231" s="2" t="str">
        <f t="shared" ca="1" si="28"/>
        <v>Amazon</v>
      </c>
      <c r="C231" s="2" t="str">
        <f t="shared" ca="1" si="29"/>
        <v>Sports</v>
      </c>
      <c r="D231" s="2" t="str">
        <f t="shared" si="30"/>
        <v>Product_230</v>
      </c>
      <c r="E231" s="2">
        <f t="shared" ca="1" si="31"/>
        <v>41306</v>
      </c>
      <c r="F231" s="2">
        <f t="shared" ca="1" si="32"/>
        <v>4.4000000000000004</v>
      </c>
      <c r="G231" s="2">
        <f t="shared" ca="1" si="33"/>
        <v>4517</v>
      </c>
      <c r="H231" s="2" t="str">
        <f t="shared" ca="1" si="34"/>
        <v>Out of Stock</v>
      </c>
      <c r="I231" s="2">
        <f t="shared" ca="1" si="35"/>
        <v>32</v>
      </c>
    </row>
    <row r="232" spans="1:9" x14ac:dyDescent="0.25">
      <c r="A232" s="2" t="str">
        <f t="shared" si="27"/>
        <v>P231</v>
      </c>
      <c r="B232" s="2" t="str">
        <f t="shared" ca="1" si="28"/>
        <v>Amazon</v>
      </c>
      <c r="C232" s="2" t="str">
        <f t="shared" ca="1" si="29"/>
        <v>Fashion</v>
      </c>
      <c r="D232" s="2" t="str">
        <f t="shared" si="30"/>
        <v>Product_231</v>
      </c>
      <c r="E232" s="2">
        <f t="shared" ca="1" si="31"/>
        <v>60832</v>
      </c>
      <c r="F232" s="2">
        <f t="shared" ca="1" si="32"/>
        <v>4.7</v>
      </c>
      <c r="G232" s="2">
        <f t="shared" ca="1" si="33"/>
        <v>4039</v>
      </c>
      <c r="H232" s="2" t="str">
        <f t="shared" ca="1" si="34"/>
        <v>Out of Stock</v>
      </c>
      <c r="I232" s="2">
        <f t="shared" ca="1" si="35"/>
        <v>30</v>
      </c>
    </row>
    <row r="233" spans="1:9" x14ac:dyDescent="0.25">
      <c r="A233" s="2" t="str">
        <f t="shared" si="27"/>
        <v>P232</v>
      </c>
      <c r="B233" s="2" t="str">
        <f t="shared" ca="1" si="28"/>
        <v>Flipkart</v>
      </c>
      <c r="C233" s="2" t="str">
        <f t="shared" ca="1" si="29"/>
        <v>Electronics</v>
      </c>
      <c r="D233" s="2" t="str">
        <f t="shared" si="30"/>
        <v>Product_232</v>
      </c>
      <c r="E233" s="2">
        <f t="shared" ca="1" si="31"/>
        <v>58586</v>
      </c>
      <c r="F233" s="2">
        <f t="shared" ca="1" si="32"/>
        <v>3.9</v>
      </c>
      <c r="G233" s="2">
        <f t="shared" ca="1" si="33"/>
        <v>497</v>
      </c>
      <c r="H233" s="2" t="str">
        <f t="shared" ca="1" si="34"/>
        <v>Out of Stock</v>
      </c>
      <c r="I233" s="2">
        <f t="shared" ca="1" si="35"/>
        <v>35</v>
      </c>
    </row>
    <row r="234" spans="1:9" x14ac:dyDescent="0.25">
      <c r="A234" s="2" t="str">
        <f t="shared" si="27"/>
        <v>P233</v>
      </c>
      <c r="B234" s="2" t="str">
        <f t="shared" ca="1" si="28"/>
        <v>Flipkart</v>
      </c>
      <c r="C234" s="2" t="str">
        <f t="shared" ca="1" si="29"/>
        <v>Home &amp; Kitchen</v>
      </c>
      <c r="D234" s="2" t="str">
        <f t="shared" si="30"/>
        <v>Product_233</v>
      </c>
      <c r="E234" s="2">
        <f t="shared" ca="1" si="31"/>
        <v>7048</v>
      </c>
      <c r="F234" s="2">
        <f t="shared" ca="1" si="32"/>
        <v>3.8</v>
      </c>
      <c r="G234" s="2">
        <f t="shared" ca="1" si="33"/>
        <v>1373</v>
      </c>
      <c r="H234" s="2" t="str">
        <f t="shared" ca="1" si="34"/>
        <v>In Stock</v>
      </c>
      <c r="I234" s="2">
        <f t="shared" ca="1" si="35"/>
        <v>17</v>
      </c>
    </row>
    <row r="235" spans="1:9" x14ac:dyDescent="0.25">
      <c r="A235" s="2" t="str">
        <f t="shared" si="27"/>
        <v>P234</v>
      </c>
      <c r="B235" s="2" t="str">
        <f t="shared" ca="1" si="28"/>
        <v>Amazon</v>
      </c>
      <c r="C235" s="2" t="str">
        <f t="shared" ca="1" si="29"/>
        <v>Beauty</v>
      </c>
      <c r="D235" s="2" t="str">
        <f t="shared" si="30"/>
        <v>Product_234</v>
      </c>
      <c r="E235" s="2">
        <f t="shared" ca="1" si="31"/>
        <v>4174</v>
      </c>
      <c r="F235" s="2">
        <f t="shared" ca="1" si="32"/>
        <v>4.7</v>
      </c>
      <c r="G235" s="2">
        <f t="shared" ca="1" si="33"/>
        <v>4785</v>
      </c>
      <c r="H235" s="2" t="str">
        <f t="shared" ca="1" si="34"/>
        <v>In Stock</v>
      </c>
      <c r="I235" s="2">
        <f t="shared" ca="1" si="35"/>
        <v>6</v>
      </c>
    </row>
    <row r="236" spans="1:9" x14ac:dyDescent="0.25">
      <c r="A236" s="2" t="str">
        <f t="shared" si="27"/>
        <v>P235</v>
      </c>
      <c r="B236" s="2" t="str">
        <f t="shared" ca="1" si="28"/>
        <v>Amazon</v>
      </c>
      <c r="C236" s="2" t="str">
        <f t="shared" ca="1" si="29"/>
        <v>Electronics</v>
      </c>
      <c r="D236" s="2" t="str">
        <f t="shared" si="30"/>
        <v>Product_235</v>
      </c>
      <c r="E236" s="2">
        <f t="shared" ca="1" si="31"/>
        <v>43963</v>
      </c>
      <c r="F236" s="2">
        <f t="shared" ca="1" si="32"/>
        <v>4.7</v>
      </c>
      <c r="G236" s="2">
        <f t="shared" ca="1" si="33"/>
        <v>3958</v>
      </c>
      <c r="H236" s="2" t="str">
        <f t="shared" ca="1" si="34"/>
        <v>In Stock</v>
      </c>
      <c r="I236" s="2">
        <f t="shared" ca="1" si="35"/>
        <v>42</v>
      </c>
    </row>
    <row r="237" spans="1:9" x14ac:dyDescent="0.25">
      <c r="A237" s="2" t="str">
        <f t="shared" si="27"/>
        <v>P236</v>
      </c>
      <c r="B237" s="2" t="str">
        <f t="shared" ca="1" si="28"/>
        <v>Flipkart</v>
      </c>
      <c r="C237" s="2" t="str">
        <f t="shared" ca="1" si="29"/>
        <v>Sports</v>
      </c>
      <c r="D237" s="2" t="str">
        <f t="shared" si="30"/>
        <v>Product_236</v>
      </c>
      <c r="E237" s="2">
        <f t="shared" ca="1" si="31"/>
        <v>65427</v>
      </c>
      <c r="F237" s="2">
        <f t="shared" ca="1" si="32"/>
        <v>4.3</v>
      </c>
      <c r="G237" s="2">
        <f t="shared" ca="1" si="33"/>
        <v>4788</v>
      </c>
      <c r="H237" s="2" t="str">
        <f t="shared" ca="1" si="34"/>
        <v>In Stock</v>
      </c>
      <c r="I237" s="2">
        <f t="shared" ca="1" si="35"/>
        <v>32</v>
      </c>
    </row>
    <row r="238" spans="1:9" x14ac:dyDescent="0.25">
      <c r="A238" s="2" t="str">
        <f t="shared" si="27"/>
        <v>P237</v>
      </c>
      <c r="B238" s="2" t="str">
        <f t="shared" ca="1" si="28"/>
        <v>Amazon</v>
      </c>
      <c r="C238" s="2" t="str">
        <f t="shared" ca="1" si="29"/>
        <v>Beauty</v>
      </c>
      <c r="D238" s="2" t="str">
        <f t="shared" si="30"/>
        <v>Product_237</v>
      </c>
      <c r="E238" s="2">
        <f t="shared" ca="1" si="31"/>
        <v>64395</v>
      </c>
      <c r="F238" s="2">
        <f t="shared" ca="1" si="32"/>
        <v>2.5</v>
      </c>
      <c r="G238" s="2">
        <f t="shared" ca="1" si="33"/>
        <v>4048</v>
      </c>
      <c r="H238" s="2" t="str">
        <f t="shared" ca="1" si="34"/>
        <v>In Stock</v>
      </c>
      <c r="I238" s="2">
        <f t="shared" ca="1" si="35"/>
        <v>47</v>
      </c>
    </row>
    <row r="239" spans="1:9" x14ac:dyDescent="0.25">
      <c r="A239" s="2" t="str">
        <f t="shared" si="27"/>
        <v>P238</v>
      </c>
      <c r="B239" s="2" t="str">
        <f t="shared" ca="1" si="28"/>
        <v>Amazon</v>
      </c>
      <c r="C239" s="2" t="str">
        <f t="shared" ca="1" si="29"/>
        <v>Home &amp; Kitchen</v>
      </c>
      <c r="D239" s="2" t="str">
        <f t="shared" si="30"/>
        <v>Product_238</v>
      </c>
      <c r="E239" s="2">
        <f t="shared" ca="1" si="31"/>
        <v>40765</v>
      </c>
      <c r="F239" s="2">
        <f t="shared" ca="1" si="32"/>
        <v>4.2</v>
      </c>
      <c r="G239" s="2">
        <f t="shared" ca="1" si="33"/>
        <v>2313</v>
      </c>
      <c r="H239" s="2" t="str">
        <f t="shared" ca="1" si="34"/>
        <v>In Stock</v>
      </c>
      <c r="I239" s="2">
        <f t="shared" ca="1" si="35"/>
        <v>45</v>
      </c>
    </row>
    <row r="240" spans="1:9" x14ac:dyDescent="0.25">
      <c r="A240" s="2" t="str">
        <f t="shared" si="27"/>
        <v>P239</v>
      </c>
      <c r="B240" s="2" t="str">
        <f t="shared" ca="1" si="28"/>
        <v>Flipkart</v>
      </c>
      <c r="C240" s="2" t="str">
        <f t="shared" ca="1" si="29"/>
        <v>Sports</v>
      </c>
      <c r="D240" s="2" t="str">
        <f t="shared" si="30"/>
        <v>Product_239</v>
      </c>
      <c r="E240" s="2">
        <f t="shared" ca="1" si="31"/>
        <v>20134</v>
      </c>
      <c r="F240" s="2">
        <f t="shared" ca="1" si="32"/>
        <v>3.4</v>
      </c>
      <c r="G240" s="2">
        <f t="shared" ca="1" si="33"/>
        <v>3423</v>
      </c>
      <c r="H240" s="2" t="str">
        <f t="shared" ca="1" si="34"/>
        <v>In Stock</v>
      </c>
      <c r="I240" s="2">
        <f t="shared" ca="1" si="35"/>
        <v>24</v>
      </c>
    </row>
    <row r="241" spans="1:9" x14ac:dyDescent="0.25">
      <c r="A241" s="2" t="str">
        <f t="shared" si="27"/>
        <v>P240</v>
      </c>
      <c r="B241" s="2" t="str">
        <f t="shared" ca="1" si="28"/>
        <v>Flipkart</v>
      </c>
      <c r="C241" s="2" t="str">
        <f t="shared" ca="1" si="29"/>
        <v>Home &amp; Kitchen</v>
      </c>
      <c r="D241" s="2" t="str">
        <f t="shared" si="30"/>
        <v>Product_240</v>
      </c>
      <c r="E241" s="2">
        <f t="shared" ca="1" si="31"/>
        <v>77132</v>
      </c>
      <c r="F241" s="2">
        <f t="shared" ca="1" si="32"/>
        <v>4.5</v>
      </c>
      <c r="G241" s="2">
        <f t="shared" ca="1" si="33"/>
        <v>1252</v>
      </c>
      <c r="H241" s="2" t="str">
        <f t="shared" ca="1" si="34"/>
        <v>Out of Stock</v>
      </c>
      <c r="I241" s="2">
        <f t="shared" ca="1" si="35"/>
        <v>27</v>
      </c>
    </row>
    <row r="242" spans="1:9" x14ac:dyDescent="0.25">
      <c r="A242" s="2" t="str">
        <f t="shared" si="27"/>
        <v>P241</v>
      </c>
      <c r="B242" s="2" t="str">
        <f t="shared" ca="1" si="28"/>
        <v>Amazon</v>
      </c>
      <c r="C242" s="2" t="str">
        <f t="shared" ca="1" si="29"/>
        <v>Fashion</v>
      </c>
      <c r="D242" s="2" t="str">
        <f t="shared" si="30"/>
        <v>Product_241</v>
      </c>
      <c r="E242" s="2">
        <f t="shared" ca="1" si="31"/>
        <v>65358</v>
      </c>
      <c r="F242" s="2">
        <f t="shared" ca="1" si="32"/>
        <v>2.9</v>
      </c>
      <c r="G242" s="2">
        <f t="shared" ca="1" si="33"/>
        <v>1278</v>
      </c>
      <c r="H242" s="2" t="str">
        <f t="shared" ca="1" si="34"/>
        <v>In Stock</v>
      </c>
      <c r="I242" s="2">
        <f t="shared" ca="1" si="35"/>
        <v>20</v>
      </c>
    </row>
    <row r="243" spans="1:9" x14ac:dyDescent="0.25">
      <c r="A243" s="2" t="str">
        <f t="shared" si="27"/>
        <v>P242</v>
      </c>
      <c r="B243" s="2" t="str">
        <f t="shared" ca="1" si="28"/>
        <v>Flipkart</v>
      </c>
      <c r="C243" s="2" t="str">
        <f t="shared" ca="1" si="29"/>
        <v>Sports</v>
      </c>
      <c r="D243" s="2" t="str">
        <f t="shared" si="30"/>
        <v>Product_242</v>
      </c>
      <c r="E243" s="2">
        <f t="shared" ca="1" si="31"/>
        <v>23592</v>
      </c>
      <c r="F243" s="2">
        <f t="shared" ca="1" si="32"/>
        <v>4.3</v>
      </c>
      <c r="G243" s="2">
        <f t="shared" ca="1" si="33"/>
        <v>1848</v>
      </c>
      <c r="H243" s="2" t="str">
        <f t="shared" ca="1" si="34"/>
        <v>In Stock</v>
      </c>
      <c r="I243" s="2">
        <f t="shared" ca="1" si="35"/>
        <v>25</v>
      </c>
    </row>
    <row r="244" spans="1:9" x14ac:dyDescent="0.25">
      <c r="A244" s="2" t="str">
        <f t="shared" si="27"/>
        <v>P243</v>
      </c>
      <c r="B244" s="2" t="str">
        <f t="shared" ca="1" si="28"/>
        <v>Amazon</v>
      </c>
      <c r="C244" s="2" t="str">
        <f t="shared" ca="1" si="29"/>
        <v>Sports</v>
      </c>
      <c r="D244" s="2" t="str">
        <f t="shared" si="30"/>
        <v>Product_243</v>
      </c>
      <c r="E244" s="2">
        <f t="shared" ca="1" si="31"/>
        <v>70767</v>
      </c>
      <c r="F244" s="2">
        <f t="shared" ca="1" si="32"/>
        <v>3.4</v>
      </c>
      <c r="G244" s="2">
        <f t="shared" ca="1" si="33"/>
        <v>3624</v>
      </c>
      <c r="H244" s="2" t="str">
        <f t="shared" ca="1" si="34"/>
        <v>Out of Stock</v>
      </c>
      <c r="I244" s="2">
        <f t="shared" ca="1" si="35"/>
        <v>42</v>
      </c>
    </row>
    <row r="245" spans="1:9" x14ac:dyDescent="0.25">
      <c r="A245" s="2" t="str">
        <f t="shared" si="27"/>
        <v>P244</v>
      </c>
      <c r="B245" s="2" t="str">
        <f t="shared" ca="1" si="28"/>
        <v>Flipkart</v>
      </c>
      <c r="C245" s="2" t="str">
        <f t="shared" ca="1" si="29"/>
        <v>Beauty</v>
      </c>
      <c r="D245" s="2" t="str">
        <f t="shared" si="30"/>
        <v>Product_244</v>
      </c>
      <c r="E245" s="2">
        <f t="shared" ca="1" si="31"/>
        <v>5650</v>
      </c>
      <c r="F245" s="2">
        <f t="shared" ca="1" si="32"/>
        <v>4</v>
      </c>
      <c r="G245" s="2">
        <f t="shared" ca="1" si="33"/>
        <v>2163</v>
      </c>
      <c r="H245" s="2" t="str">
        <f t="shared" ca="1" si="34"/>
        <v>In Stock</v>
      </c>
      <c r="I245" s="2">
        <f t="shared" ca="1" si="35"/>
        <v>56</v>
      </c>
    </row>
    <row r="246" spans="1:9" x14ac:dyDescent="0.25">
      <c r="A246" s="2" t="str">
        <f t="shared" si="27"/>
        <v>P245</v>
      </c>
      <c r="B246" s="2" t="str">
        <f t="shared" ca="1" si="28"/>
        <v>Amazon</v>
      </c>
      <c r="C246" s="2" t="str">
        <f t="shared" ca="1" si="29"/>
        <v>Beauty</v>
      </c>
      <c r="D246" s="2" t="str">
        <f t="shared" si="30"/>
        <v>Product_245</v>
      </c>
      <c r="E246" s="2">
        <f t="shared" ca="1" si="31"/>
        <v>17061</v>
      </c>
      <c r="F246" s="2">
        <f t="shared" ca="1" si="32"/>
        <v>2.5</v>
      </c>
      <c r="G246" s="2">
        <f t="shared" ca="1" si="33"/>
        <v>206</v>
      </c>
      <c r="H246" s="2" t="str">
        <f t="shared" ca="1" si="34"/>
        <v>In Stock</v>
      </c>
      <c r="I246" s="2">
        <f t="shared" ca="1" si="35"/>
        <v>43</v>
      </c>
    </row>
    <row r="247" spans="1:9" x14ac:dyDescent="0.25">
      <c r="A247" s="2" t="str">
        <f t="shared" si="27"/>
        <v>P246</v>
      </c>
      <c r="B247" s="2" t="str">
        <f t="shared" ca="1" si="28"/>
        <v>Amazon</v>
      </c>
      <c r="C247" s="2" t="str">
        <f t="shared" ca="1" si="29"/>
        <v>Beauty</v>
      </c>
      <c r="D247" s="2" t="str">
        <f t="shared" si="30"/>
        <v>Product_246</v>
      </c>
      <c r="E247" s="2">
        <f t="shared" ca="1" si="31"/>
        <v>21820</v>
      </c>
      <c r="F247" s="2">
        <f t="shared" ca="1" si="32"/>
        <v>3</v>
      </c>
      <c r="G247" s="2">
        <f t="shared" ca="1" si="33"/>
        <v>2274</v>
      </c>
      <c r="H247" s="2" t="str">
        <f t="shared" ca="1" si="34"/>
        <v>In Stock</v>
      </c>
      <c r="I247" s="2">
        <f t="shared" ca="1" si="35"/>
        <v>10</v>
      </c>
    </row>
    <row r="248" spans="1:9" x14ac:dyDescent="0.25">
      <c r="A248" s="2" t="str">
        <f t="shared" si="27"/>
        <v>P247</v>
      </c>
      <c r="B248" s="2" t="str">
        <f t="shared" ca="1" si="28"/>
        <v>Flipkart</v>
      </c>
      <c r="C248" s="2" t="str">
        <f t="shared" ca="1" si="29"/>
        <v>Beauty</v>
      </c>
      <c r="D248" s="2" t="str">
        <f t="shared" si="30"/>
        <v>Product_247</v>
      </c>
      <c r="E248" s="2">
        <f t="shared" ca="1" si="31"/>
        <v>23076</v>
      </c>
      <c r="F248" s="2">
        <f t="shared" ca="1" si="32"/>
        <v>2.6</v>
      </c>
      <c r="G248" s="2">
        <f t="shared" ca="1" si="33"/>
        <v>4214</v>
      </c>
      <c r="H248" s="2" t="str">
        <f t="shared" ca="1" si="34"/>
        <v>In Stock</v>
      </c>
      <c r="I248" s="2">
        <f t="shared" ca="1" si="35"/>
        <v>55</v>
      </c>
    </row>
    <row r="249" spans="1:9" x14ac:dyDescent="0.25">
      <c r="A249" s="2" t="str">
        <f t="shared" si="27"/>
        <v>P248</v>
      </c>
      <c r="B249" s="2" t="str">
        <f t="shared" ca="1" si="28"/>
        <v>Flipkart</v>
      </c>
      <c r="C249" s="2" t="str">
        <f t="shared" ca="1" si="29"/>
        <v>Sports</v>
      </c>
      <c r="D249" s="2" t="str">
        <f t="shared" si="30"/>
        <v>Product_248</v>
      </c>
      <c r="E249" s="2">
        <f t="shared" ca="1" si="31"/>
        <v>5999</v>
      </c>
      <c r="F249" s="2">
        <f t="shared" ca="1" si="32"/>
        <v>2.7</v>
      </c>
      <c r="G249" s="2">
        <f t="shared" ca="1" si="33"/>
        <v>3130</v>
      </c>
      <c r="H249" s="2" t="str">
        <f t="shared" ca="1" si="34"/>
        <v>In Stock</v>
      </c>
      <c r="I249" s="2">
        <f t="shared" ca="1" si="35"/>
        <v>22</v>
      </c>
    </row>
    <row r="250" spans="1:9" x14ac:dyDescent="0.25">
      <c r="A250" s="2" t="str">
        <f t="shared" si="27"/>
        <v>P249</v>
      </c>
      <c r="B250" s="2" t="str">
        <f t="shared" ca="1" si="28"/>
        <v>Flipkart</v>
      </c>
      <c r="C250" s="2" t="str">
        <f t="shared" ca="1" si="29"/>
        <v>Electronics</v>
      </c>
      <c r="D250" s="2" t="str">
        <f t="shared" si="30"/>
        <v>Product_249</v>
      </c>
      <c r="E250" s="2">
        <f t="shared" ca="1" si="31"/>
        <v>16212</v>
      </c>
      <c r="F250" s="2">
        <f t="shared" ca="1" si="32"/>
        <v>4.5999999999999996</v>
      </c>
      <c r="G250" s="2">
        <f t="shared" ca="1" si="33"/>
        <v>600</v>
      </c>
      <c r="H250" s="2" t="str">
        <f t="shared" ca="1" si="34"/>
        <v>In Stock</v>
      </c>
      <c r="I250" s="2">
        <f t="shared" ca="1" si="35"/>
        <v>31</v>
      </c>
    </row>
    <row r="251" spans="1:9" x14ac:dyDescent="0.25">
      <c r="A251" s="2" t="str">
        <f t="shared" si="27"/>
        <v>P250</v>
      </c>
      <c r="B251" s="2" t="str">
        <f t="shared" ca="1" si="28"/>
        <v>Flipkart</v>
      </c>
      <c r="C251" s="2" t="str">
        <f t="shared" ca="1" si="29"/>
        <v>Home &amp; Kitchen</v>
      </c>
      <c r="D251" s="2" t="str">
        <f t="shared" si="30"/>
        <v>Product_250</v>
      </c>
      <c r="E251" s="2">
        <f t="shared" ca="1" si="31"/>
        <v>73440</v>
      </c>
      <c r="F251" s="2">
        <f t="shared" ca="1" si="32"/>
        <v>3.8</v>
      </c>
      <c r="G251" s="2">
        <f t="shared" ca="1" si="33"/>
        <v>3607</v>
      </c>
      <c r="H251" s="2" t="str">
        <f t="shared" ca="1" si="34"/>
        <v>In Stock</v>
      </c>
      <c r="I251" s="2">
        <f t="shared" ca="1" si="35"/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04FD-7354-40FC-8F3E-B0B21FCD0EED}">
  <dimension ref="A1:I351"/>
  <sheetViews>
    <sheetView workbookViewId="0">
      <selection activeCell="I2" sqref="I2"/>
    </sheetView>
  </sheetViews>
  <sheetFormatPr defaultRowHeight="15" x14ac:dyDescent="0.25"/>
  <cols>
    <col min="1" max="1" width="9" bestFit="1" customWidth="1"/>
    <col min="2" max="2" width="8.7109375" bestFit="1" customWidth="1"/>
    <col min="3" max="3" width="11.28515625" bestFit="1" customWidth="1"/>
    <col min="4" max="4" width="15.42578125" bestFit="1" customWidth="1"/>
    <col min="5" max="5" width="13.5703125" bestFit="1" customWidth="1"/>
    <col min="6" max="6" width="11.28515625" bestFit="1" customWidth="1"/>
    <col min="7" max="7" width="10.7109375" bestFit="1" customWidth="1"/>
    <col min="8" max="8" width="17.28515625" bestFit="1" customWidth="1"/>
    <col min="9" max="9" width="8.7109375" bestFit="1" customWidth="1"/>
  </cols>
  <sheetData>
    <row r="1" spans="1:9" x14ac:dyDescent="0.25">
      <c r="A1" s="1" t="s">
        <v>32</v>
      </c>
      <c r="B1" s="1" t="s">
        <v>24</v>
      </c>
      <c r="C1" s="1" t="s">
        <v>33</v>
      </c>
      <c r="D1" s="1" t="s">
        <v>25</v>
      </c>
      <c r="E1" s="1" t="s">
        <v>34</v>
      </c>
      <c r="F1" s="1" t="s">
        <v>31</v>
      </c>
      <c r="G1" s="1" t="s">
        <v>35</v>
      </c>
      <c r="H1" s="1" t="s">
        <v>36</v>
      </c>
      <c r="I1" s="1" t="s">
        <v>37</v>
      </c>
    </row>
    <row r="2" spans="1:9" x14ac:dyDescent="0.25">
      <c r="A2" s="2" t="s">
        <v>38</v>
      </c>
      <c r="B2" s="2" t="s">
        <v>16</v>
      </c>
      <c r="C2" s="2" t="s">
        <v>39</v>
      </c>
      <c r="D2" s="2" t="s">
        <v>40</v>
      </c>
      <c r="E2" s="2">
        <v>12109</v>
      </c>
      <c r="F2" s="2">
        <v>29</v>
      </c>
      <c r="G2" s="2">
        <v>8597.39</v>
      </c>
      <c r="H2" s="2" t="s">
        <v>41</v>
      </c>
      <c r="I2" s="2">
        <v>5</v>
      </c>
    </row>
    <row r="3" spans="1:9" x14ac:dyDescent="0.25">
      <c r="A3" s="2" t="s">
        <v>42</v>
      </c>
      <c r="B3" s="2" t="s">
        <v>17</v>
      </c>
      <c r="C3" s="2" t="s">
        <v>43</v>
      </c>
      <c r="D3" s="2" t="s">
        <v>44</v>
      </c>
      <c r="E3" s="2">
        <v>48507</v>
      </c>
      <c r="F3" s="2">
        <v>22</v>
      </c>
      <c r="G3" s="2">
        <v>37835.46</v>
      </c>
      <c r="H3" s="2" t="s">
        <v>45</v>
      </c>
      <c r="I3" s="2">
        <v>4</v>
      </c>
    </row>
    <row r="4" spans="1:9" x14ac:dyDescent="0.25">
      <c r="A4" s="2" t="s">
        <v>46</v>
      </c>
      <c r="B4" s="2" t="s">
        <v>16</v>
      </c>
      <c r="C4" s="2" t="s">
        <v>47</v>
      </c>
      <c r="D4" s="2" t="s">
        <v>44</v>
      </c>
      <c r="E4" s="2">
        <v>32466</v>
      </c>
      <c r="F4" s="2">
        <v>41</v>
      </c>
      <c r="G4" s="2">
        <v>19154.939999999999</v>
      </c>
      <c r="H4" s="2" t="s">
        <v>48</v>
      </c>
      <c r="I4" s="2">
        <v>4</v>
      </c>
    </row>
    <row r="5" spans="1:9" x14ac:dyDescent="0.25">
      <c r="A5" s="2" t="s">
        <v>49</v>
      </c>
      <c r="B5" s="2" t="s">
        <v>17</v>
      </c>
      <c r="C5" s="2" t="s">
        <v>50</v>
      </c>
      <c r="D5" s="2" t="s">
        <v>44</v>
      </c>
      <c r="E5" s="2">
        <v>44177</v>
      </c>
      <c r="F5" s="2">
        <v>18</v>
      </c>
      <c r="G5" s="2">
        <v>36225.14</v>
      </c>
      <c r="H5" s="2" t="s">
        <v>51</v>
      </c>
      <c r="I5" s="2">
        <v>5</v>
      </c>
    </row>
    <row r="6" spans="1:9" x14ac:dyDescent="0.25">
      <c r="A6" s="2" t="s">
        <v>52</v>
      </c>
      <c r="B6" s="2" t="s">
        <v>16</v>
      </c>
      <c r="C6" s="2" t="s">
        <v>53</v>
      </c>
      <c r="D6" s="2" t="s">
        <v>54</v>
      </c>
      <c r="E6" s="2">
        <v>15779</v>
      </c>
      <c r="F6" s="2">
        <v>29</v>
      </c>
      <c r="G6" s="2">
        <v>11203.09</v>
      </c>
      <c r="H6" s="2" t="s">
        <v>41</v>
      </c>
      <c r="I6" s="2">
        <v>5</v>
      </c>
    </row>
    <row r="7" spans="1:9" x14ac:dyDescent="0.25">
      <c r="A7" s="2" t="s">
        <v>55</v>
      </c>
      <c r="B7" s="2" t="s">
        <v>16</v>
      </c>
      <c r="C7" s="2" t="s">
        <v>56</v>
      </c>
      <c r="D7" s="2" t="s">
        <v>40</v>
      </c>
      <c r="E7" s="2">
        <v>6702</v>
      </c>
      <c r="F7" s="2">
        <v>50</v>
      </c>
      <c r="G7" s="2">
        <v>3351</v>
      </c>
      <c r="H7" s="2" t="s">
        <v>51</v>
      </c>
      <c r="I7" s="2">
        <v>1</v>
      </c>
    </row>
    <row r="8" spans="1:9" x14ac:dyDescent="0.25">
      <c r="A8" s="2" t="s">
        <v>57</v>
      </c>
      <c r="B8" s="2" t="s">
        <v>17</v>
      </c>
      <c r="C8" s="2" t="s">
        <v>58</v>
      </c>
      <c r="D8" s="2" t="s">
        <v>59</v>
      </c>
      <c r="E8" s="2">
        <v>17849</v>
      </c>
      <c r="F8" s="2">
        <v>27</v>
      </c>
      <c r="G8" s="2">
        <v>13029.77</v>
      </c>
      <c r="H8" s="2" t="s">
        <v>48</v>
      </c>
      <c r="I8" s="2">
        <v>2</v>
      </c>
    </row>
    <row r="9" spans="1:9" x14ac:dyDescent="0.25">
      <c r="A9" s="2" t="s">
        <v>60</v>
      </c>
      <c r="B9" s="2" t="s">
        <v>16</v>
      </c>
      <c r="C9" s="2" t="s">
        <v>61</v>
      </c>
      <c r="D9" s="2" t="s">
        <v>62</v>
      </c>
      <c r="E9" s="2">
        <v>44665</v>
      </c>
      <c r="F9" s="2">
        <v>29</v>
      </c>
      <c r="G9" s="2">
        <v>31712.15</v>
      </c>
      <c r="H9" s="2" t="s">
        <v>45</v>
      </c>
      <c r="I9" s="2">
        <v>1</v>
      </c>
    </row>
    <row r="10" spans="1:9" x14ac:dyDescent="0.25">
      <c r="A10" s="2" t="s">
        <v>63</v>
      </c>
      <c r="B10" s="2" t="s">
        <v>16</v>
      </c>
      <c r="C10" s="2" t="s">
        <v>64</v>
      </c>
      <c r="D10" s="2" t="s">
        <v>44</v>
      </c>
      <c r="E10" s="2">
        <v>20790</v>
      </c>
      <c r="F10" s="2">
        <v>43</v>
      </c>
      <c r="G10" s="2">
        <v>11850.3</v>
      </c>
      <c r="H10" s="2" t="s">
        <v>45</v>
      </c>
      <c r="I10" s="2">
        <v>2</v>
      </c>
    </row>
    <row r="11" spans="1:9" x14ac:dyDescent="0.25">
      <c r="A11" s="2" t="s">
        <v>65</v>
      </c>
      <c r="B11" s="2" t="s">
        <v>16</v>
      </c>
      <c r="C11" s="2" t="s">
        <v>66</v>
      </c>
      <c r="D11" s="2" t="s">
        <v>44</v>
      </c>
      <c r="E11" s="2">
        <v>24170</v>
      </c>
      <c r="F11" s="2">
        <v>36</v>
      </c>
      <c r="G11" s="2">
        <v>15468.8</v>
      </c>
      <c r="H11" s="2" t="s">
        <v>51</v>
      </c>
      <c r="I11" s="2">
        <v>1</v>
      </c>
    </row>
    <row r="12" spans="1:9" x14ac:dyDescent="0.25">
      <c r="A12" s="2" t="s">
        <v>67</v>
      </c>
      <c r="B12" s="2" t="s">
        <v>17</v>
      </c>
      <c r="C12" s="2" t="s">
        <v>68</v>
      </c>
      <c r="D12" s="2" t="s">
        <v>59</v>
      </c>
      <c r="E12" s="2">
        <v>49160</v>
      </c>
      <c r="F12" s="2">
        <v>5</v>
      </c>
      <c r="G12" s="2">
        <v>46702</v>
      </c>
      <c r="H12" s="2" t="s">
        <v>41</v>
      </c>
      <c r="I12" s="2">
        <v>2</v>
      </c>
    </row>
    <row r="13" spans="1:9" x14ac:dyDescent="0.25">
      <c r="A13" s="2" t="s">
        <v>69</v>
      </c>
      <c r="B13" s="2" t="s">
        <v>17</v>
      </c>
      <c r="C13" s="2" t="s">
        <v>70</v>
      </c>
      <c r="D13" s="2" t="s">
        <v>62</v>
      </c>
      <c r="E13" s="2">
        <v>49549</v>
      </c>
      <c r="F13" s="2">
        <v>6</v>
      </c>
      <c r="G13" s="2">
        <v>46576.06</v>
      </c>
      <c r="H13" s="2" t="s">
        <v>45</v>
      </c>
      <c r="I13" s="2">
        <v>5</v>
      </c>
    </row>
    <row r="14" spans="1:9" x14ac:dyDescent="0.25">
      <c r="A14" s="2" t="s">
        <v>71</v>
      </c>
      <c r="B14" s="2" t="s">
        <v>16</v>
      </c>
      <c r="C14" s="2" t="s">
        <v>72</v>
      </c>
      <c r="D14" s="2" t="s">
        <v>62</v>
      </c>
      <c r="E14" s="2">
        <v>21072</v>
      </c>
      <c r="F14" s="2">
        <v>50</v>
      </c>
      <c r="G14" s="2">
        <v>10536</v>
      </c>
      <c r="H14" s="2" t="s">
        <v>41</v>
      </c>
      <c r="I14" s="2">
        <v>3</v>
      </c>
    </row>
    <row r="15" spans="1:9" x14ac:dyDescent="0.25">
      <c r="A15" s="2" t="s">
        <v>73</v>
      </c>
      <c r="B15" s="2" t="s">
        <v>16</v>
      </c>
      <c r="C15" s="2" t="s">
        <v>74</v>
      </c>
      <c r="D15" s="2" t="s">
        <v>62</v>
      </c>
      <c r="E15" s="2">
        <v>46618</v>
      </c>
      <c r="F15" s="2">
        <v>44</v>
      </c>
      <c r="G15" s="2">
        <v>26106.080000000002</v>
      </c>
      <c r="H15" s="2" t="s">
        <v>48</v>
      </c>
      <c r="I15" s="2">
        <v>3</v>
      </c>
    </row>
    <row r="16" spans="1:9" x14ac:dyDescent="0.25">
      <c r="A16" s="2" t="s">
        <v>75</v>
      </c>
      <c r="B16" s="2" t="s">
        <v>17</v>
      </c>
      <c r="C16" s="2" t="s">
        <v>76</v>
      </c>
      <c r="D16" s="2" t="s">
        <v>54</v>
      </c>
      <c r="E16" s="2">
        <v>40859</v>
      </c>
      <c r="F16" s="2">
        <v>28</v>
      </c>
      <c r="G16" s="2">
        <v>29418.48</v>
      </c>
      <c r="H16" s="2" t="s">
        <v>48</v>
      </c>
      <c r="I16" s="2">
        <v>2</v>
      </c>
    </row>
    <row r="17" spans="1:9" x14ac:dyDescent="0.25">
      <c r="A17" s="2" t="s">
        <v>77</v>
      </c>
      <c r="B17" s="2" t="s">
        <v>17</v>
      </c>
      <c r="C17" s="2" t="s">
        <v>78</v>
      </c>
      <c r="D17" s="2" t="s">
        <v>54</v>
      </c>
      <c r="E17" s="2">
        <v>48942</v>
      </c>
      <c r="F17" s="2">
        <v>27</v>
      </c>
      <c r="G17" s="2">
        <v>35727.660000000003</v>
      </c>
      <c r="H17" s="2" t="s">
        <v>48</v>
      </c>
      <c r="I17" s="2">
        <v>3</v>
      </c>
    </row>
    <row r="18" spans="1:9" x14ac:dyDescent="0.25">
      <c r="A18" s="2" t="s">
        <v>79</v>
      </c>
      <c r="B18" s="2" t="s">
        <v>17</v>
      </c>
      <c r="C18" s="2" t="s">
        <v>80</v>
      </c>
      <c r="D18" s="2" t="s">
        <v>40</v>
      </c>
      <c r="E18" s="2">
        <v>36713</v>
      </c>
      <c r="F18" s="2">
        <v>15</v>
      </c>
      <c r="G18" s="2">
        <v>31206.05</v>
      </c>
      <c r="H18" s="2" t="s">
        <v>41</v>
      </c>
      <c r="I18" s="2">
        <v>2</v>
      </c>
    </row>
    <row r="19" spans="1:9" x14ac:dyDescent="0.25">
      <c r="A19" s="2" t="s">
        <v>81</v>
      </c>
      <c r="B19" s="2" t="s">
        <v>17</v>
      </c>
      <c r="C19" s="2" t="s">
        <v>82</v>
      </c>
      <c r="D19" s="2" t="s">
        <v>40</v>
      </c>
      <c r="E19" s="2">
        <v>47507</v>
      </c>
      <c r="F19" s="2">
        <v>12</v>
      </c>
      <c r="G19" s="2">
        <v>41806.160000000003</v>
      </c>
      <c r="H19" s="2" t="s">
        <v>45</v>
      </c>
      <c r="I19" s="2">
        <v>5</v>
      </c>
    </row>
    <row r="20" spans="1:9" x14ac:dyDescent="0.25">
      <c r="A20" s="2" t="s">
        <v>83</v>
      </c>
      <c r="B20" s="2" t="s">
        <v>16</v>
      </c>
      <c r="C20" s="2" t="s">
        <v>84</v>
      </c>
      <c r="D20" s="2" t="s">
        <v>62</v>
      </c>
      <c r="E20" s="2">
        <v>48588</v>
      </c>
      <c r="F20" s="2">
        <v>29</v>
      </c>
      <c r="G20" s="2">
        <v>34497.480000000003</v>
      </c>
      <c r="H20" s="2" t="s">
        <v>51</v>
      </c>
      <c r="I20" s="2">
        <v>1</v>
      </c>
    </row>
    <row r="21" spans="1:9" x14ac:dyDescent="0.25">
      <c r="A21" s="2" t="s">
        <v>85</v>
      </c>
      <c r="B21" s="2" t="s">
        <v>17</v>
      </c>
      <c r="C21" s="2" t="s">
        <v>86</v>
      </c>
      <c r="D21" s="2" t="s">
        <v>44</v>
      </c>
      <c r="E21" s="2">
        <v>26456</v>
      </c>
      <c r="F21" s="2">
        <v>8</v>
      </c>
      <c r="G21" s="2">
        <v>24339.52</v>
      </c>
      <c r="H21" s="2" t="s">
        <v>51</v>
      </c>
      <c r="I21" s="2">
        <v>3</v>
      </c>
    </row>
    <row r="22" spans="1:9" x14ac:dyDescent="0.25">
      <c r="A22" s="2" t="s">
        <v>87</v>
      </c>
      <c r="B22" s="2" t="s">
        <v>17</v>
      </c>
      <c r="C22" s="2" t="s">
        <v>88</v>
      </c>
      <c r="D22" s="2" t="s">
        <v>40</v>
      </c>
      <c r="E22" s="2">
        <v>32366</v>
      </c>
      <c r="F22" s="2">
        <v>15</v>
      </c>
      <c r="G22" s="2">
        <v>27511.1</v>
      </c>
      <c r="H22" s="2" t="s">
        <v>41</v>
      </c>
      <c r="I22" s="2">
        <v>1</v>
      </c>
    </row>
    <row r="23" spans="1:9" x14ac:dyDescent="0.25">
      <c r="A23" s="2" t="s">
        <v>89</v>
      </c>
      <c r="B23" s="2" t="s">
        <v>17</v>
      </c>
      <c r="C23" s="2" t="s">
        <v>90</v>
      </c>
      <c r="D23" s="2" t="s">
        <v>62</v>
      </c>
      <c r="E23" s="2">
        <v>20357</v>
      </c>
      <c r="F23" s="2">
        <v>18</v>
      </c>
      <c r="G23" s="2">
        <v>16692.740000000002</v>
      </c>
      <c r="H23" s="2" t="s">
        <v>51</v>
      </c>
      <c r="I23" s="2">
        <v>3</v>
      </c>
    </row>
    <row r="24" spans="1:9" x14ac:dyDescent="0.25">
      <c r="A24" s="2" t="s">
        <v>91</v>
      </c>
      <c r="B24" s="2" t="s">
        <v>16</v>
      </c>
      <c r="C24" s="2" t="s">
        <v>92</v>
      </c>
      <c r="D24" s="2" t="s">
        <v>40</v>
      </c>
      <c r="E24" s="2">
        <v>28717</v>
      </c>
      <c r="F24" s="2">
        <v>27</v>
      </c>
      <c r="G24" s="2">
        <v>20963.41</v>
      </c>
      <c r="H24" s="2" t="s">
        <v>51</v>
      </c>
      <c r="I24" s="2">
        <v>3</v>
      </c>
    </row>
    <row r="25" spans="1:9" x14ac:dyDescent="0.25">
      <c r="A25" s="2" t="s">
        <v>93</v>
      </c>
      <c r="B25" s="2" t="s">
        <v>17</v>
      </c>
      <c r="C25" s="2" t="s">
        <v>94</v>
      </c>
      <c r="D25" s="2" t="s">
        <v>62</v>
      </c>
      <c r="E25" s="2">
        <v>22776</v>
      </c>
      <c r="F25" s="2">
        <v>27</v>
      </c>
      <c r="G25" s="2">
        <v>16626.48</v>
      </c>
      <c r="H25" s="2" t="s">
        <v>45</v>
      </c>
      <c r="I25" s="2">
        <v>2</v>
      </c>
    </row>
    <row r="26" spans="1:9" x14ac:dyDescent="0.25">
      <c r="A26" s="2" t="s">
        <v>95</v>
      </c>
      <c r="B26" s="2" t="s">
        <v>17</v>
      </c>
      <c r="C26" s="2" t="s">
        <v>96</v>
      </c>
      <c r="D26" s="2" t="s">
        <v>62</v>
      </c>
      <c r="E26" s="2">
        <v>15666</v>
      </c>
      <c r="F26" s="2">
        <v>15</v>
      </c>
      <c r="G26" s="2">
        <v>13316.1</v>
      </c>
      <c r="H26" s="2" t="s">
        <v>48</v>
      </c>
      <c r="I26" s="2">
        <v>1</v>
      </c>
    </row>
    <row r="27" spans="1:9" x14ac:dyDescent="0.25">
      <c r="A27" s="2" t="s">
        <v>97</v>
      </c>
      <c r="B27" s="2" t="s">
        <v>16</v>
      </c>
      <c r="C27" s="2" t="s">
        <v>98</v>
      </c>
      <c r="D27" s="2" t="s">
        <v>44</v>
      </c>
      <c r="E27" s="2">
        <v>23527</v>
      </c>
      <c r="F27" s="2">
        <v>37</v>
      </c>
      <c r="G27" s="2">
        <v>14822.01</v>
      </c>
      <c r="H27" s="2" t="s">
        <v>45</v>
      </c>
      <c r="I27" s="2">
        <v>1</v>
      </c>
    </row>
    <row r="28" spans="1:9" x14ac:dyDescent="0.25">
      <c r="A28" s="2" t="s">
        <v>99</v>
      </c>
      <c r="B28" s="2" t="s">
        <v>16</v>
      </c>
      <c r="C28" s="2" t="s">
        <v>100</v>
      </c>
      <c r="D28" s="2" t="s">
        <v>44</v>
      </c>
      <c r="E28" s="2">
        <v>32672</v>
      </c>
      <c r="F28" s="2">
        <v>28</v>
      </c>
      <c r="G28" s="2">
        <v>23523.84</v>
      </c>
      <c r="H28" s="2" t="s">
        <v>48</v>
      </c>
      <c r="I28" s="2">
        <v>4</v>
      </c>
    </row>
    <row r="29" spans="1:9" x14ac:dyDescent="0.25">
      <c r="A29" s="2" t="s">
        <v>101</v>
      </c>
      <c r="B29" s="2" t="s">
        <v>17</v>
      </c>
      <c r="C29" s="2" t="s">
        <v>102</v>
      </c>
      <c r="D29" s="2" t="s">
        <v>62</v>
      </c>
      <c r="E29" s="2">
        <v>40913</v>
      </c>
      <c r="F29" s="2">
        <v>7</v>
      </c>
      <c r="G29" s="2">
        <v>38049.089999999997</v>
      </c>
      <c r="H29" s="2" t="s">
        <v>51</v>
      </c>
      <c r="I29" s="2">
        <v>3</v>
      </c>
    </row>
    <row r="30" spans="1:9" x14ac:dyDescent="0.25">
      <c r="A30" s="2" t="s">
        <v>103</v>
      </c>
      <c r="B30" s="2" t="s">
        <v>16</v>
      </c>
      <c r="C30" s="2" t="s">
        <v>104</v>
      </c>
      <c r="D30" s="2" t="s">
        <v>44</v>
      </c>
      <c r="E30" s="2">
        <v>38799</v>
      </c>
      <c r="F30" s="2">
        <v>20</v>
      </c>
      <c r="G30" s="2">
        <v>31039.200000000001</v>
      </c>
      <c r="H30" s="2" t="s">
        <v>48</v>
      </c>
      <c r="I30" s="2">
        <v>4</v>
      </c>
    </row>
    <row r="31" spans="1:9" x14ac:dyDescent="0.25">
      <c r="A31" s="2" t="s">
        <v>105</v>
      </c>
      <c r="B31" s="2" t="s">
        <v>17</v>
      </c>
      <c r="C31" s="2" t="s">
        <v>106</v>
      </c>
      <c r="D31" s="2" t="s">
        <v>40</v>
      </c>
      <c r="E31" s="2">
        <v>33463</v>
      </c>
      <c r="F31" s="2">
        <v>14</v>
      </c>
      <c r="G31" s="2">
        <v>28778.18</v>
      </c>
      <c r="H31" s="2" t="s">
        <v>48</v>
      </c>
      <c r="I31" s="2">
        <v>3</v>
      </c>
    </row>
    <row r="32" spans="1:9" x14ac:dyDescent="0.25">
      <c r="A32" s="2" t="s">
        <v>107</v>
      </c>
      <c r="B32" s="2" t="s">
        <v>16</v>
      </c>
      <c r="C32" s="2" t="s">
        <v>108</v>
      </c>
      <c r="D32" s="2" t="s">
        <v>54</v>
      </c>
      <c r="E32" s="2">
        <v>9769</v>
      </c>
      <c r="F32" s="2">
        <v>15</v>
      </c>
      <c r="G32" s="2">
        <v>8303.65</v>
      </c>
      <c r="H32" s="2" t="s">
        <v>48</v>
      </c>
      <c r="I32" s="2">
        <v>3</v>
      </c>
    </row>
    <row r="33" spans="1:9" x14ac:dyDescent="0.25">
      <c r="A33" s="2" t="s">
        <v>109</v>
      </c>
      <c r="B33" s="2" t="s">
        <v>17</v>
      </c>
      <c r="C33" s="2" t="s">
        <v>110</v>
      </c>
      <c r="D33" s="2" t="s">
        <v>54</v>
      </c>
      <c r="E33" s="2">
        <v>18838</v>
      </c>
      <c r="F33" s="2">
        <v>17</v>
      </c>
      <c r="G33" s="2">
        <v>15635.54</v>
      </c>
      <c r="H33" s="2" t="s">
        <v>41</v>
      </c>
      <c r="I33" s="2">
        <v>1</v>
      </c>
    </row>
    <row r="34" spans="1:9" x14ac:dyDescent="0.25">
      <c r="A34" s="2" t="s">
        <v>111</v>
      </c>
      <c r="B34" s="2" t="s">
        <v>16</v>
      </c>
      <c r="C34" s="2" t="s">
        <v>112</v>
      </c>
      <c r="D34" s="2" t="s">
        <v>54</v>
      </c>
      <c r="E34" s="2">
        <v>34812</v>
      </c>
      <c r="F34" s="2">
        <v>32</v>
      </c>
      <c r="G34" s="2">
        <v>23672.16</v>
      </c>
      <c r="H34" s="2" t="s">
        <v>48</v>
      </c>
      <c r="I34" s="2">
        <v>1</v>
      </c>
    </row>
    <row r="35" spans="1:9" x14ac:dyDescent="0.25">
      <c r="A35" s="2" t="s">
        <v>113</v>
      </c>
      <c r="B35" s="2" t="s">
        <v>16</v>
      </c>
      <c r="C35" s="2" t="s">
        <v>114</v>
      </c>
      <c r="D35" s="2" t="s">
        <v>62</v>
      </c>
      <c r="E35" s="2">
        <v>4280</v>
      </c>
      <c r="F35" s="2">
        <v>39</v>
      </c>
      <c r="G35" s="2">
        <v>2610.8000000000002</v>
      </c>
      <c r="H35" s="2" t="s">
        <v>51</v>
      </c>
      <c r="I35" s="2">
        <v>5</v>
      </c>
    </row>
    <row r="36" spans="1:9" x14ac:dyDescent="0.25">
      <c r="A36" s="2" t="s">
        <v>115</v>
      </c>
      <c r="B36" s="2" t="s">
        <v>17</v>
      </c>
      <c r="C36" s="2" t="s">
        <v>116</v>
      </c>
      <c r="D36" s="2" t="s">
        <v>62</v>
      </c>
      <c r="E36" s="2">
        <v>36725</v>
      </c>
      <c r="F36" s="2">
        <v>30</v>
      </c>
      <c r="G36" s="2">
        <v>25707.5</v>
      </c>
      <c r="H36" s="2" t="s">
        <v>41</v>
      </c>
      <c r="I36" s="2">
        <v>5</v>
      </c>
    </row>
    <row r="37" spans="1:9" x14ac:dyDescent="0.25">
      <c r="A37" s="2" t="s">
        <v>117</v>
      </c>
      <c r="B37" s="2" t="s">
        <v>16</v>
      </c>
      <c r="C37" s="2" t="s">
        <v>118</v>
      </c>
      <c r="D37" s="2" t="s">
        <v>40</v>
      </c>
      <c r="E37" s="2">
        <v>5910</v>
      </c>
      <c r="F37" s="2">
        <v>15</v>
      </c>
      <c r="G37" s="2">
        <v>5023.5</v>
      </c>
      <c r="H37" s="2" t="s">
        <v>41</v>
      </c>
      <c r="I37" s="2">
        <v>3</v>
      </c>
    </row>
    <row r="38" spans="1:9" x14ac:dyDescent="0.25">
      <c r="A38" s="2" t="s">
        <v>119</v>
      </c>
      <c r="B38" s="2" t="s">
        <v>17</v>
      </c>
      <c r="C38" s="2" t="s">
        <v>47</v>
      </c>
      <c r="D38" s="2" t="s">
        <v>54</v>
      </c>
      <c r="E38" s="2">
        <v>32366</v>
      </c>
      <c r="F38" s="2">
        <v>26</v>
      </c>
      <c r="G38" s="2">
        <v>23950.84</v>
      </c>
      <c r="H38" s="2" t="s">
        <v>51</v>
      </c>
      <c r="I38" s="2">
        <v>4</v>
      </c>
    </row>
    <row r="39" spans="1:9" x14ac:dyDescent="0.25">
      <c r="A39" s="2" t="s">
        <v>120</v>
      </c>
      <c r="B39" s="2" t="s">
        <v>16</v>
      </c>
      <c r="C39" s="2" t="s">
        <v>121</v>
      </c>
      <c r="D39" s="2" t="s">
        <v>40</v>
      </c>
      <c r="E39" s="2">
        <v>22693</v>
      </c>
      <c r="F39" s="2">
        <v>33</v>
      </c>
      <c r="G39" s="2">
        <v>15204.31</v>
      </c>
      <c r="H39" s="2" t="s">
        <v>51</v>
      </c>
      <c r="I39" s="2">
        <v>3</v>
      </c>
    </row>
    <row r="40" spans="1:9" x14ac:dyDescent="0.25">
      <c r="A40" s="2" t="s">
        <v>122</v>
      </c>
      <c r="B40" s="2" t="s">
        <v>17</v>
      </c>
      <c r="C40" s="2" t="s">
        <v>123</v>
      </c>
      <c r="D40" s="2" t="s">
        <v>62</v>
      </c>
      <c r="E40" s="2">
        <v>29069</v>
      </c>
      <c r="F40" s="2">
        <v>28</v>
      </c>
      <c r="G40" s="2">
        <v>20929.68</v>
      </c>
      <c r="H40" s="2" t="s">
        <v>45</v>
      </c>
      <c r="I40" s="2">
        <v>3</v>
      </c>
    </row>
    <row r="41" spans="1:9" x14ac:dyDescent="0.25">
      <c r="A41" s="2" t="s">
        <v>124</v>
      </c>
      <c r="B41" s="2" t="s">
        <v>16</v>
      </c>
      <c r="C41" s="2" t="s">
        <v>125</v>
      </c>
      <c r="D41" s="2" t="s">
        <v>62</v>
      </c>
      <c r="E41" s="2">
        <v>21709</v>
      </c>
      <c r="F41" s="2">
        <v>44</v>
      </c>
      <c r="G41" s="2">
        <v>12157.04</v>
      </c>
      <c r="H41" s="2" t="s">
        <v>48</v>
      </c>
      <c r="I41" s="2">
        <v>4</v>
      </c>
    </row>
    <row r="42" spans="1:9" x14ac:dyDescent="0.25">
      <c r="A42" s="2" t="s">
        <v>126</v>
      </c>
      <c r="B42" s="2" t="s">
        <v>16</v>
      </c>
      <c r="C42" s="2" t="s">
        <v>127</v>
      </c>
      <c r="D42" s="2" t="s">
        <v>59</v>
      </c>
      <c r="E42" s="2">
        <v>38479</v>
      </c>
      <c r="F42" s="2">
        <v>16</v>
      </c>
      <c r="G42" s="2">
        <v>32322.36</v>
      </c>
      <c r="H42" s="2" t="s">
        <v>48</v>
      </c>
      <c r="I42" s="2">
        <v>3</v>
      </c>
    </row>
    <row r="43" spans="1:9" x14ac:dyDescent="0.25">
      <c r="A43" s="2" t="s">
        <v>128</v>
      </c>
      <c r="B43" s="2" t="s">
        <v>16</v>
      </c>
      <c r="C43" s="2" t="s">
        <v>129</v>
      </c>
      <c r="D43" s="2" t="s">
        <v>40</v>
      </c>
      <c r="E43" s="2">
        <v>25340</v>
      </c>
      <c r="F43" s="2">
        <v>37</v>
      </c>
      <c r="G43" s="2">
        <v>15964.2</v>
      </c>
      <c r="H43" s="2" t="s">
        <v>51</v>
      </c>
      <c r="I43" s="2">
        <v>4</v>
      </c>
    </row>
    <row r="44" spans="1:9" x14ac:dyDescent="0.25">
      <c r="A44" s="2" t="s">
        <v>130</v>
      </c>
      <c r="B44" s="2" t="s">
        <v>16</v>
      </c>
      <c r="C44" s="2" t="s">
        <v>131</v>
      </c>
      <c r="D44" s="2" t="s">
        <v>62</v>
      </c>
      <c r="E44" s="2">
        <v>20887</v>
      </c>
      <c r="F44" s="2">
        <v>26</v>
      </c>
      <c r="G44" s="2">
        <v>15456.38</v>
      </c>
      <c r="H44" s="2" t="s">
        <v>45</v>
      </c>
      <c r="I44" s="2">
        <v>3</v>
      </c>
    </row>
    <row r="45" spans="1:9" x14ac:dyDescent="0.25">
      <c r="A45" s="2" t="s">
        <v>132</v>
      </c>
      <c r="B45" s="2" t="s">
        <v>16</v>
      </c>
      <c r="C45" s="2" t="s">
        <v>53</v>
      </c>
      <c r="D45" s="2" t="s">
        <v>54</v>
      </c>
      <c r="E45" s="2">
        <v>32579</v>
      </c>
      <c r="F45" s="2">
        <v>49</v>
      </c>
      <c r="G45" s="2">
        <v>16615.29</v>
      </c>
      <c r="H45" s="2" t="s">
        <v>45</v>
      </c>
      <c r="I45" s="2">
        <v>4</v>
      </c>
    </row>
    <row r="46" spans="1:9" x14ac:dyDescent="0.25">
      <c r="A46" s="2" t="s">
        <v>133</v>
      </c>
      <c r="B46" s="2" t="s">
        <v>16</v>
      </c>
      <c r="C46" s="2" t="s">
        <v>134</v>
      </c>
      <c r="D46" s="2" t="s">
        <v>40</v>
      </c>
      <c r="E46" s="2">
        <v>48479</v>
      </c>
      <c r="F46" s="2">
        <v>22</v>
      </c>
      <c r="G46" s="2">
        <v>37813.620000000003</v>
      </c>
      <c r="H46" s="2" t="s">
        <v>45</v>
      </c>
      <c r="I46" s="2">
        <v>2</v>
      </c>
    </row>
    <row r="47" spans="1:9" x14ac:dyDescent="0.25">
      <c r="A47" s="2" t="s">
        <v>135</v>
      </c>
      <c r="B47" s="2" t="s">
        <v>17</v>
      </c>
      <c r="C47" s="2" t="s">
        <v>136</v>
      </c>
      <c r="D47" s="2" t="s">
        <v>54</v>
      </c>
      <c r="E47" s="2">
        <v>41089</v>
      </c>
      <c r="F47" s="2">
        <v>25</v>
      </c>
      <c r="G47" s="2">
        <v>30816.75</v>
      </c>
      <c r="H47" s="2" t="s">
        <v>48</v>
      </c>
      <c r="I47" s="2">
        <v>3</v>
      </c>
    </row>
    <row r="48" spans="1:9" x14ac:dyDescent="0.25">
      <c r="A48" s="2" t="s">
        <v>137</v>
      </c>
      <c r="B48" s="2" t="s">
        <v>16</v>
      </c>
      <c r="C48" s="2" t="s">
        <v>118</v>
      </c>
      <c r="D48" s="2" t="s">
        <v>62</v>
      </c>
      <c r="E48" s="2">
        <v>25414</v>
      </c>
      <c r="F48" s="2">
        <v>23</v>
      </c>
      <c r="G48" s="2">
        <v>19568.78</v>
      </c>
      <c r="H48" s="2" t="s">
        <v>45</v>
      </c>
      <c r="I48" s="2">
        <v>3</v>
      </c>
    </row>
    <row r="49" spans="1:9" x14ac:dyDescent="0.25">
      <c r="A49" s="2" t="s">
        <v>138</v>
      </c>
      <c r="B49" s="2" t="s">
        <v>17</v>
      </c>
      <c r="C49" s="2" t="s">
        <v>139</v>
      </c>
      <c r="D49" s="2" t="s">
        <v>44</v>
      </c>
      <c r="E49" s="2">
        <v>17499</v>
      </c>
      <c r="F49" s="2">
        <v>15</v>
      </c>
      <c r="G49" s="2">
        <v>14874.15</v>
      </c>
      <c r="H49" s="2" t="s">
        <v>51</v>
      </c>
      <c r="I49" s="2">
        <v>2</v>
      </c>
    </row>
    <row r="50" spans="1:9" x14ac:dyDescent="0.25">
      <c r="A50" s="2" t="s">
        <v>140</v>
      </c>
      <c r="B50" s="2" t="s">
        <v>16</v>
      </c>
      <c r="C50" s="2" t="s">
        <v>92</v>
      </c>
      <c r="D50" s="2" t="s">
        <v>44</v>
      </c>
      <c r="E50" s="2">
        <v>33708</v>
      </c>
      <c r="F50" s="2">
        <v>34</v>
      </c>
      <c r="G50" s="2">
        <v>22247.279999999999</v>
      </c>
      <c r="H50" s="2" t="s">
        <v>48</v>
      </c>
      <c r="I50" s="2">
        <v>3</v>
      </c>
    </row>
    <row r="51" spans="1:9" x14ac:dyDescent="0.25">
      <c r="A51" s="2" t="s">
        <v>141</v>
      </c>
      <c r="B51" s="2" t="s">
        <v>16</v>
      </c>
      <c r="C51" s="2" t="s">
        <v>142</v>
      </c>
      <c r="D51" s="2" t="s">
        <v>59</v>
      </c>
      <c r="E51" s="2">
        <v>44945</v>
      </c>
      <c r="F51" s="2">
        <v>40</v>
      </c>
      <c r="G51" s="2">
        <v>26967</v>
      </c>
      <c r="H51" s="2" t="s">
        <v>41</v>
      </c>
      <c r="I51" s="2">
        <v>1</v>
      </c>
    </row>
    <row r="52" spans="1:9" x14ac:dyDescent="0.25">
      <c r="A52" s="2" t="s">
        <v>143</v>
      </c>
      <c r="B52" s="2" t="s">
        <v>17</v>
      </c>
      <c r="C52" s="2" t="s">
        <v>144</v>
      </c>
      <c r="D52" s="2" t="s">
        <v>59</v>
      </c>
      <c r="E52" s="2">
        <v>17289</v>
      </c>
      <c r="F52" s="2">
        <v>26</v>
      </c>
      <c r="G52" s="2">
        <v>12793.86</v>
      </c>
      <c r="H52" s="2" t="s">
        <v>45</v>
      </c>
      <c r="I52" s="2">
        <v>3</v>
      </c>
    </row>
    <row r="53" spans="1:9" x14ac:dyDescent="0.25">
      <c r="A53" s="2" t="s">
        <v>145</v>
      </c>
      <c r="B53" s="2" t="s">
        <v>17</v>
      </c>
      <c r="C53" s="2" t="s">
        <v>146</v>
      </c>
      <c r="D53" s="2" t="s">
        <v>44</v>
      </c>
      <c r="E53" s="2">
        <v>31251</v>
      </c>
      <c r="F53" s="2">
        <v>17</v>
      </c>
      <c r="G53" s="2">
        <v>25938.33</v>
      </c>
      <c r="H53" s="2" t="s">
        <v>51</v>
      </c>
      <c r="I53" s="2">
        <v>2</v>
      </c>
    </row>
    <row r="54" spans="1:9" x14ac:dyDescent="0.25">
      <c r="A54" s="2" t="s">
        <v>147</v>
      </c>
      <c r="B54" s="2" t="s">
        <v>17</v>
      </c>
      <c r="C54" s="2" t="s">
        <v>148</v>
      </c>
      <c r="D54" s="2" t="s">
        <v>44</v>
      </c>
      <c r="E54" s="2">
        <v>13992</v>
      </c>
      <c r="F54" s="2">
        <v>25</v>
      </c>
      <c r="G54" s="2">
        <v>10494</v>
      </c>
      <c r="H54" s="2" t="s">
        <v>51</v>
      </c>
      <c r="I54" s="2">
        <v>3</v>
      </c>
    </row>
    <row r="55" spans="1:9" x14ac:dyDescent="0.25">
      <c r="A55" s="2" t="s">
        <v>149</v>
      </c>
      <c r="B55" s="2" t="s">
        <v>16</v>
      </c>
      <c r="C55" s="2" t="s">
        <v>150</v>
      </c>
      <c r="D55" s="2" t="s">
        <v>54</v>
      </c>
      <c r="E55" s="2">
        <v>21849</v>
      </c>
      <c r="F55" s="2">
        <v>40</v>
      </c>
      <c r="G55" s="2">
        <v>13109.4</v>
      </c>
      <c r="H55" s="2" t="s">
        <v>51</v>
      </c>
      <c r="I55" s="2">
        <v>3</v>
      </c>
    </row>
    <row r="56" spans="1:9" x14ac:dyDescent="0.25">
      <c r="A56" s="2" t="s">
        <v>151</v>
      </c>
      <c r="B56" s="2" t="s">
        <v>17</v>
      </c>
      <c r="C56" s="2" t="s">
        <v>152</v>
      </c>
      <c r="D56" s="2" t="s">
        <v>44</v>
      </c>
      <c r="E56" s="2">
        <v>11621</v>
      </c>
      <c r="F56" s="2">
        <v>23</v>
      </c>
      <c r="G56" s="2">
        <v>8948.17</v>
      </c>
      <c r="H56" s="2" t="s">
        <v>51</v>
      </c>
      <c r="I56" s="2">
        <v>2</v>
      </c>
    </row>
    <row r="57" spans="1:9" x14ac:dyDescent="0.25">
      <c r="A57" s="2" t="s">
        <v>153</v>
      </c>
      <c r="B57" s="2" t="s">
        <v>16</v>
      </c>
      <c r="C57" s="2" t="s">
        <v>154</v>
      </c>
      <c r="D57" s="2" t="s">
        <v>62</v>
      </c>
      <c r="E57" s="2">
        <v>21168</v>
      </c>
      <c r="F57" s="2">
        <v>49</v>
      </c>
      <c r="G57" s="2">
        <v>10795.68</v>
      </c>
      <c r="H57" s="2" t="s">
        <v>48</v>
      </c>
      <c r="I57" s="2">
        <v>5</v>
      </c>
    </row>
    <row r="58" spans="1:9" x14ac:dyDescent="0.25">
      <c r="A58" s="2" t="s">
        <v>155</v>
      </c>
      <c r="B58" s="2" t="s">
        <v>17</v>
      </c>
      <c r="C58" s="2" t="s">
        <v>156</v>
      </c>
      <c r="D58" s="2" t="s">
        <v>54</v>
      </c>
      <c r="E58" s="2">
        <v>46120</v>
      </c>
      <c r="F58" s="2">
        <v>22</v>
      </c>
      <c r="G58" s="2">
        <v>35973.599999999999</v>
      </c>
      <c r="H58" s="2" t="s">
        <v>51</v>
      </c>
      <c r="I58" s="2">
        <v>4</v>
      </c>
    </row>
    <row r="59" spans="1:9" x14ac:dyDescent="0.25">
      <c r="A59" s="2" t="s">
        <v>157</v>
      </c>
      <c r="B59" s="2" t="s">
        <v>17</v>
      </c>
      <c r="C59" s="2" t="s">
        <v>158</v>
      </c>
      <c r="D59" s="2" t="s">
        <v>59</v>
      </c>
      <c r="E59" s="2">
        <v>10083</v>
      </c>
      <c r="F59" s="2">
        <v>8</v>
      </c>
      <c r="G59" s="2">
        <v>9276.36</v>
      </c>
      <c r="H59" s="2" t="s">
        <v>51</v>
      </c>
      <c r="I59" s="2">
        <v>1</v>
      </c>
    </row>
    <row r="60" spans="1:9" x14ac:dyDescent="0.25">
      <c r="A60" s="2" t="s">
        <v>159</v>
      </c>
      <c r="B60" s="2" t="s">
        <v>17</v>
      </c>
      <c r="C60" s="2" t="s">
        <v>160</v>
      </c>
      <c r="D60" s="2" t="s">
        <v>54</v>
      </c>
      <c r="E60" s="2">
        <v>48711</v>
      </c>
      <c r="F60" s="2">
        <v>15</v>
      </c>
      <c r="G60" s="2">
        <v>41404.35</v>
      </c>
      <c r="H60" s="2" t="s">
        <v>45</v>
      </c>
      <c r="I60" s="2">
        <v>1</v>
      </c>
    </row>
    <row r="61" spans="1:9" x14ac:dyDescent="0.25">
      <c r="A61" s="2" t="s">
        <v>161</v>
      </c>
      <c r="B61" s="2" t="s">
        <v>16</v>
      </c>
      <c r="C61" s="2" t="s">
        <v>162</v>
      </c>
      <c r="D61" s="2" t="s">
        <v>54</v>
      </c>
      <c r="E61" s="2">
        <v>21768</v>
      </c>
      <c r="F61" s="2">
        <v>22</v>
      </c>
      <c r="G61" s="2">
        <v>16979.04</v>
      </c>
      <c r="H61" s="2" t="s">
        <v>48</v>
      </c>
      <c r="I61" s="2">
        <v>2</v>
      </c>
    </row>
    <row r="62" spans="1:9" x14ac:dyDescent="0.25">
      <c r="A62" s="2" t="s">
        <v>163</v>
      </c>
      <c r="B62" s="2" t="s">
        <v>17</v>
      </c>
      <c r="C62" s="2" t="s">
        <v>164</v>
      </c>
      <c r="D62" s="2" t="s">
        <v>54</v>
      </c>
      <c r="E62" s="2">
        <v>40589</v>
      </c>
      <c r="F62" s="2">
        <v>19</v>
      </c>
      <c r="G62" s="2">
        <v>32877.089999999997</v>
      </c>
      <c r="H62" s="2" t="s">
        <v>51</v>
      </c>
      <c r="I62" s="2">
        <v>1</v>
      </c>
    </row>
    <row r="63" spans="1:9" x14ac:dyDescent="0.25">
      <c r="A63" s="2" t="s">
        <v>165</v>
      </c>
      <c r="B63" s="2" t="s">
        <v>16</v>
      </c>
      <c r="C63" s="2" t="s">
        <v>166</v>
      </c>
      <c r="D63" s="2" t="s">
        <v>40</v>
      </c>
      <c r="E63" s="2">
        <v>44328</v>
      </c>
      <c r="F63" s="2">
        <v>23</v>
      </c>
      <c r="G63" s="2">
        <v>34132.559999999998</v>
      </c>
      <c r="H63" s="2" t="s">
        <v>48</v>
      </c>
      <c r="I63" s="2">
        <v>2</v>
      </c>
    </row>
    <row r="64" spans="1:9" x14ac:dyDescent="0.25">
      <c r="A64" s="2" t="s">
        <v>167</v>
      </c>
      <c r="B64" s="2" t="s">
        <v>16</v>
      </c>
      <c r="C64" s="2" t="s">
        <v>168</v>
      </c>
      <c r="D64" s="2" t="s">
        <v>62</v>
      </c>
      <c r="E64" s="2">
        <v>28311</v>
      </c>
      <c r="F64" s="2">
        <v>30</v>
      </c>
      <c r="G64" s="2">
        <v>19817.7</v>
      </c>
      <c r="H64" s="2" t="s">
        <v>48</v>
      </c>
      <c r="I64" s="2">
        <v>3</v>
      </c>
    </row>
    <row r="65" spans="1:9" x14ac:dyDescent="0.25">
      <c r="A65" s="2" t="s">
        <v>169</v>
      </c>
      <c r="B65" s="2" t="s">
        <v>16</v>
      </c>
      <c r="C65" s="2" t="s">
        <v>170</v>
      </c>
      <c r="D65" s="2" t="s">
        <v>59</v>
      </c>
      <c r="E65" s="2">
        <v>17184</v>
      </c>
      <c r="F65" s="2">
        <v>24</v>
      </c>
      <c r="G65" s="2">
        <v>13059.84</v>
      </c>
      <c r="H65" s="2" t="s">
        <v>41</v>
      </c>
      <c r="I65" s="2">
        <v>2</v>
      </c>
    </row>
    <row r="66" spans="1:9" x14ac:dyDescent="0.25">
      <c r="A66" s="2" t="s">
        <v>171</v>
      </c>
      <c r="B66" s="2" t="s">
        <v>16</v>
      </c>
      <c r="C66" s="2" t="s">
        <v>172</v>
      </c>
      <c r="D66" s="2" t="s">
        <v>40</v>
      </c>
      <c r="E66" s="2">
        <v>36280</v>
      </c>
      <c r="F66" s="2">
        <v>50</v>
      </c>
      <c r="G66" s="2">
        <v>18140</v>
      </c>
      <c r="H66" s="2" t="s">
        <v>41</v>
      </c>
      <c r="I66" s="2">
        <v>2</v>
      </c>
    </row>
    <row r="67" spans="1:9" x14ac:dyDescent="0.25">
      <c r="A67" s="2" t="s">
        <v>173</v>
      </c>
      <c r="B67" s="2" t="s">
        <v>16</v>
      </c>
      <c r="C67" s="2" t="s">
        <v>174</v>
      </c>
      <c r="D67" s="2" t="s">
        <v>62</v>
      </c>
      <c r="E67" s="2">
        <v>32812</v>
      </c>
      <c r="F67" s="2">
        <v>50</v>
      </c>
      <c r="G67" s="2">
        <v>16406</v>
      </c>
      <c r="H67" s="2" t="s">
        <v>51</v>
      </c>
      <c r="I67" s="2">
        <v>2</v>
      </c>
    </row>
    <row r="68" spans="1:9" x14ac:dyDescent="0.25">
      <c r="A68" s="2" t="s">
        <v>175</v>
      </c>
      <c r="B68" s="2" t="s">
        <v>16</v>
      </c>
      <c r="C68" s="2" t="s">
        <v>176</v>
      </c>
      <c r="D68" s="2" t="s">
        <v>59</v>
      </c>
      <c r="E68" s="2">
        <v>31229</v>
      </c>
      <c r="F68" s="2">
        <v>40</v>
      </c>
      <c r="G68" s="2">
        <v>18737.400000000001</v>
      </c>
      <c r="H68" s="2" t="s">
        <v>41</v>
      </c>
      <c r="I68" s="2">
        <v>5</v>
      </c>
    </row>
    <row r="69" spans="1:9" x14ac:dyDescent="0.25">
      <c r="A69" s="2" t="s">
        <v>177</v>
      </c>
      <c r="B69" s="2" t="s">
        <v>16</v>
      </c>
      <c r="C69" s="2" t="s">
        <v>178</v>
      </c>
      <c r="D69" s="2" t="s">
        <v>59</v>
      </c>
      <c r="E69" s="2">
        <v>25501</v>
      </c>
      <c r="F69" s="2">
        <v>27</v>
      </c>
      <c r="G69" s="2">
        <v>18615.73</v>
      </c>
      <c r="H69" s="2" t="s">
        <v>45</v>
      </c>
      <c r="I69" s="2">
        <v>2</v>
      </c>
    </row>
    <row r="70" spans="1:9" x14ac:dyDescent="0.25">
      <c r="A70" s="2" t="s">
        <v>179</v>
      </c>
      <c r="B70" s="2" t="s">
        <v>17</v>
      </c>
      <c r="C70" s="2" t="s">
        <v>180</v>
      </c>
      <c r="D70" s="2" t="s">
        <v>62</v>
      </c>
      <c r="E70" s="2">
        <v>15662</v>
      </c>
      <c r="F70" s="2">
        <v>7</v>
      </c>
      <c r="G70" s="2">
        <v>14565.66</v>
      </c>
      <c r="H70" s="2" t="s">
        <v>45</v>
      </c>
      <c r="I70" s="2">
        <v>3</v>
      </c>
    </row>
    <row r="71" spans="1:9" x14ac:dyDescent="0.25">
      <c r="A71" s="2" t="s">
        <v>181</v>
      </c>
      <c r="B71" s="2" t="s">
        <v>16</v>
      </c>
      <c r="C71" s="2" t="s">
        <v>182</v>
      </c>
      <c r="D71" s="2" t="s">
        <v>40</v>
      </c>
      <c r="E71" s="2">
        <v>35716</v>
      </c>
      <c r="F71" s="2">
        <v>17</v>
      </c>
      <c r="G71" s="2">
        <v>29644.28</v>
      </c>
      <c r="H71" s="2" t="s">
        <v>45</v>
      </c>
      <c r="I71" s="2">
        <v>2</v>
      </c>
    </row>
    <row r="72" spans="1:9" x14ac:dyDescent="0.25">
      <c r="A72" s="2" t="s">
        <v>183</v>
      </c>
      <c r="B72" s="2" t="s">
        <v>17</v>
      </c>
      <c r="C72" s="2" t="s">
        <v>184</v>
      </c>
      <c r="D72" s="2" t="s">
        <v>62</v>
      </c>
      <c r="E72" s="2">
        <v>30258</v>
      </c>
      <c r="F72" s="2">
        <v>27</v>
      </c>
      <c r="G72" s="2">
        <v>22088.34</v>
      </c>
      <c r="H72" s="2" t="s">
        <v>45</v>
      </c>
      <c r="I72" s="2">
        <v>3</v>
      </c>
    </row>
    <row r="73" spans="1:9" x14ac:dyDescent="0.25">
      <c r="A73" s="2" t="s">
        <v>185</v>
      </c>
      <c r="B73" s="2" t="s">
        <v>17</v>
      </c>
      <c r="C73" s="2" t="s">
        <v>186</v>
      </c>
      <c r="D73" s="2" t="s">
        <v>54</v>
      </c>
      <c r="E73" s="2">
        <v>14752</v>
      </c>
      <c r="F73" s="2">
        <v>12</v>
      </c>
      <c r="G73" s="2">
        <v>12981.76</v>
      </c>
      <c r="H73" s="2" t="s">
        <v>48</v>
      </c>
      <c r="I73" s="2">
        <v>5</v>
      </c>
    </row>
    <row r="74" spans="1:9" x14ac:dyDescent="0.25">
      <c r="A74" s="2" t="s">
        <v>187</v>
      </c>
      <c r="B74" s="2" t="s">
        <v>17</v>
      </c>
      <c r="C74" s="2" t="s">
        <v>188</v>
      </c>
      <c r="D74" s="2" t="s">
        <v>59</v>
      </c>
      <c r="E74" s="2">
        <v>10430</v>
      </c>
      <c r="F74" s="2">
        <v>24</v>
      </c>
      <c r="G74" s="2">
        <v>7926.8</v>
      </c>
      <c r="H74" s="2" t="s">
        <v>41</v>
      </c>
      <c r="I74" s="2">
        <v>1</v>
      </c>
    </row>
    <row r="75" spans="1:9" x14ac:dyDescent="0.25">
      <c r="A75" s="2" t="s">
        <v>189</v>
      </c>
      <c r="B75" s="2" t="s">
        <v>16</v>
      </c>
      <c r="C75" s="2" t="s">
        <v>86</v>
      </c>
      <c r="D75" s="2" t="s">
        <v>44</v>
      </c>
      <c r="E75" s="2">
        <v>4333</v>
      </c>
      <c r="F75" s="2">
        <v>15</v>
      </c>
      <c r="G75" s="2">
        <v>3683.05</v>
      </c>
      <c r="H75" s="2" t="s">
        <v>48</v>
      </c>
      <c r="I75" s="2">
        <v>3</v>
      </c>
    </row>
    <row r="76" spans="1:9" x14ac:dyDescent="0.25">
      <c r="A76" s="2" t="s">
        <v>190</v>
      </c>
      <c r="B76" s="2" t="s">
        <v>16</v>
      </c>
      <c r="C76" s="2" t="s">
        <v>191</v>
      </c>
      <c r="D76" s="2" t="s">
        <v>40</v>
      </c>
      <c r="E76" s="2">
        <v>40978</v>
      </c>
      <c r="F76" s="2">
        <v>38</v>
      </c>
      <c r="G76" s="2">
        <v>25406.36</v>
      </c>
      <c r="H76" s="2" t="s">
        <v>51</v>
      </c>
      <c r="I76" s="2">
        <v>2</v>
      </c>
    </row>
    <row r="77" spans="1:9" x14ac:dyDescent="0.25">
      <c r="A77" s="2" t="s">
        <v>192</v>
      </c>
      <c r="B77" s="2" t="s">
        <v>16</v>
      </c>
      <c r="C77" s="2" t="s">
        <v>156</v>
      </c>
      <c r="D77" s="2" t="s">
        <v>44</v>
      </c>
      <c r="E77" s="2">
        <v>27024</v>
      </c>
      <c r="F77" s="2">
        <v>29</v>
      </c>
      <c r="G77" s="2">
        <v>19187.04</v>
      </c>
      <c r="H77" s="2" t="s">
        <v>51</v>
      </c>
      <c r="I77" s="2">
        <v>1</v>
      </c>
    </row>
    <row r="78" spans="1:9" x14ac:dyDescent="0.25">
      <c r="A78" s="2" t="s">
        <v>193</v>
      </c>
      <c r="B78" s="2" t="s">
        <v>17</v>
      </c>
      <c r="C78" s="2" t="s">
        <v>194</v>
      </c>
      <c r="D78" s="2" t="s">
        <v>54</v>
      </c>
      <c r="E78" s="2">
        <v>48272</v>
      </c>
      <c r="F78" s="2">
        <v>27</v>
      </c>
      <c r="G78" s="2">
        <v>35238.559999999998</v>
      </c>
      <c r="H78" s="2" t="s">
        <v>48</v>
      </c>
      <c r="I78" s="2">
        <v>5</v>
      </c>
    </row>
    <row r="79" spans="1:9" x14ac:dyDescent="0.25">
      <c r="A79" s="2" t="s">
        <v>195</v>
      </c>
      <c r="B79" s="2" t="s">
        <v>17</v>
      </c>
      <c r="C79" s="2" t="s">
        <v>196</v>
      </c>
      <c r="D79" s="2" t="s">
        <v>59</v>
      </c>
      <c r="E79" s="2">
        <v>33770</v>
      </c>
      <c r="F79" s="2">
        <v>9</v>
      </c>
      <c r="G79" s="2">
        <v>30730.7</v>
      </c>
      <c r="H79" s="2" t="s">
        <v>51</v>
      </c>
      <c r="I79" s="2">
        <v>4</v>
      </c>
    </row>
    <row r="80" spans="1:9" x14ac:dyDescent="0.25">
      <c r="A80" s="2" t="s">
        <v>197</v>
      </c>
      <c r="B80" s="2" t="s">
        <v>16</v>
      </c>
      <c r="C80" s="2" t="s">
        <v>198</v>
      </c>
      <c r="D80" s="2" t="s">
        <v>44</v>
      </c>
      <c r="E80" s="2">
        <v>35991</v>
      </c>
      <c r="F80" s="2">
        <v>40</v>
      </c>
      <c r="G80" s="2">
        <v>21594.6</v>
      </c>
      <c r="H80" s="2" t="s">
        <v>51</v>
      </c>
      <c r="I80" s="2">
        <v>5</v>
      </c>
    </row>
    <row r="81" spans="1:9" x14ac:dyDescent="0.25">
      <c r="A81" s="2" t="s">
        <v>199</v>
      </c>
      <c r="B81" s="2" t="s">
        <v>16</v>
      </c>
      <c r="C81" s="2" t="s">
        <v>94</v>
      </c>
      <c r="D81" s="2" t="s">
        <v>59</v>
      </c>
      <c r="E81" s="2">
        <v>20065</v>
      </c>
      <c r="F81" s="2">
        <v>47</v>
      </c>
      <c r="G81" s="2">
        <v>10634.45</v>
      </c>
      <c r="H81" s="2" t="s">
        <v>51</v>
      </c>
      <c r="I81" s="2">
        <v>4</v>
      </c>
    </row>
    <row r="82" spans="1:9" x14ac:dyDescent="0.25">
      <c r="A82" s="2" t="s">
        <v>200</v>
      </c>
      <c r="B82" s="2" t="s">
        <v>17</v>
      </c>
      <c r="C82" s="2" t="s">
        <v>201</v>
      </c>
      <c r="D82" s="2" t="s">
        <v>62</v>
      </c>
      <c r="E82" s="2">
        <v>7241</v>
      </c>
      <c r="F82" s="2">
        <v>14</v>
      </c>
      <c r="G82" s="2">
        <v>6227.26</v>
      </c>
      <c r="H82" s="2" t="s">
        <v>45</v>
      </c>
      <c r="I82" s="2">
        <v>2</v>
      </c>
    </row>
    <row r="83" spans="1:9" x14ac:dyDescent="0.25">
      <c r="A83" s="2" t="s">
        <v>202</v>
      </c>
      <c r="B83" s="2" t="s">
        <v>16</v>
      </c>
      <c r="C83" s="2" t="s">
        <v>203</v>
      </c>
      <c r="D83" s="2" t="s">
        <v>62</v>
      </c>
      <c r="E83" s="2">
        <v>40236</v>
      </c>
      <c r="F83" s="2">
        <v>48</v>
      </c>
      <c r="G83" s="2">
        <v>20922.72</v>
      </c>
      <c r="H83" s="2" t="s">
        <v>41</v>
      </c>
      <c r="I83" s="2">
        <v>5</v>
      </c>
    </row>
    <row r="84" spans="1:9" x14ac:dyDescent="0.25">
      <c r="A84" s="2" t="s">
        <v>204</v>
      </c>
      <c r="B84" s="2" t="s">
        <v>16</v>
      </c>
      <c r="C84" s="2" t="s">
        <v>148</v>
      </c>
      <c r="D84" s="2" t="s">
        <v>40</v>
      </c>
      <c r="E84" s="2">
        <v>32512</v>
      </c>
      <c r="F84" s="2">
        <v>45</v>
      </c>
      <c r="G84" s="2">
        <v>17881.599999999999</v>
      </c>
      <c r="H84" s="2" t="s">
        <v>45</v>
      </c>
      <c r="I84" s="2">
        <v>5</v>
      </c>
    </row>
    <row r="85" spans="1:9" x14ac:dyDescent="0.25">
      <c r="A85" s="2" t="s">
        <v>205</v>
      </c>
      <c r="B85" s="2" t="s">
        <v>17</v>
      </c>
      <c r="C85" s="2" t="s">
        <v>206</v>
      </c>
      <c r="D85" s="2" t="s">
        <v>62</v>
      </c>
      <c r="E85" s="2">
        <v>2321</v>
      </c>
      <c r="F85" s="2">
        <v>15</v>
      </c>
      <c r="G85" s="2">
        <v>1972.85</v>
      </c>
      <c r="H85" s="2" t="s">
        <v>48</v>
      </c>
      <c r="I85" s="2">
        <v>3</v>
      </c>
    </row>
    <row r="86" spans="1:9" x14ac:dyDescent="0.25">
      <c r="A86" s="2" t="s">
        <v>207</v>
      </c>
      <c r="B86" s="2" t="s">
        <v>16</v>
      </c>
      <c r="C86" s="2" t="s">
        <v>208</v>
      </c>
      <c r="D86" s="2" t="s">
        <v>54</v>
      </c>
      <c r="E86" s="2">
        <v>37663</v>
      </c>
      <c r="F86" s="2">
        <v>50</v>
      </c>
      <c r="G86" s="2">
        <v>18831.5</v>
      </c>
      <c r="H86" s="2" t="s">
        <v>41</v>
      </c>
      <c r="I86" s="2">
        <v>5</v>
      </c>
    </row>
    <row r="87" spans="1:9" x14ac:dyDescent="0.25">
      <c r="A87" s="2" t="s">
        <v>209</v>
      </c>
      <c r="B87" s="2" t="s">
        <v>16</v>
      </c>
      <c r="C87" s="2" t="s">
        <v>210</v>
      </c>
      <c r="D87" s="2" t="s">
        <v>54</v>
      </c>
      <c r="E87" s="2">
        <v>5173</v>
      </c>
      <c r="F87" s="2">
        <v>40</v>
      </c>
      <c r="G87" s="2">
        <v>3103.8</v>
      </c>
      <c r="H87" s="2" t="s">
        <v>48</v>
      </c>
      <c r="I87" s="2">
        <v>1</v>
      </c>
    </row>
    <row r="88" spans="1:9" x14ac:dyDescent="0.25">
      <c r="A88" s="2" t="s">
        <v>211</v>
      </c>
      <c r="B88" s="2" t="s">
        <v>16</v>
      </c>
      <c r="C88" s="2" t="s">
        <v>212</v>
      </c>
      <c r="D88" s="2" t="s">
        <v>44</v>
      </c>
      <c r="E88" s="2">
        <v>21318</v>
      </c>
      <c r="F88" s="2">
        <v>29</v>
      </c>
      <c r="G88" s="2">
        <v>15135.78</v>
      </c>
      <c r="H88" s="2" t="s">
        <v>48</v>
      </c>
      <c r="I88" s="2">
        <v>4</v>
      </c>
    </row>
    <row r="89" spans="1:9" x14ac:dyDescent="0.25">
      <c r="A89" s="2" t="s">
        <v>213</v>
      </c>
      <c r="B89" s="2" t="s">
        <v>16</v>
      </c>
      <c r="C89" s="2" t="s">
        <v>58</v>
      </c>
      <c r="D89" s="2" t="s">
        <v>44</v>
      </c>
      <c r="E89" s="2">
        <v>11072</v>
      </c>
      <c r="F89" s="2">
        <v>16</v>
      </c>
      <c r="G89" s="2">
        <v>9300.48</v>
      </c>
      <c r="H89" s="2" t="s">
        <v>51</v>
      </c>
      <c r="I89" s="2">
        <v>2</v>
      </c>
    </row>
    <row r="90" spans="1:9" x14ac:dyDescent="0.25">
      <c r="A90" s="2" t="s">
        <v>214</v>
      </c>
      <c r="B90" s="2" t="s">
        <v>17</v>
      </c>
      <c r="C90" s="2" t="s">
        <v>162</v>
      </c>
      <c r="D90" s="2" t="s">
        <v>40</v>
      </c>
      <c r="E90" s="2">
        <v>25206</v>
      </c>
      <c r="F90" s="2">
        <v>16</v>
      </c>
      <c r="G90" s="2">
        <v>21173.040000000001</v>
      </c>
      <c r="H90" s="2" t="s">
        <v>41</v>
      </c>
      <c r="I90" s="2">
        <v>1</v>
      </c>
    </row>
    <row r="91" spans="1:9" x14ac:dyDescent="0.25">
      <c r="A91" s="2" t="s">
        <v>215</v>
      </c>
      <c r="B91" s="2" t="s">
        <v>17</v>
      </c>
      <c r="C91" s="2" t="s">
        <v>82</v>
      </c>
      <c r="D91" s="2" t="s">
        <v>44</v>
      </c>
      <c r="E91" s="2">
        <v>14901</v>
      </c>
      <c r="F91" s="2">
        <v>17</v>
      </c>
      <c r="G91" s="2">
        <v>12367.83</v>
      </c>
      <c r="H91" s="2" t="s">
        <v>41</v>
      </c>
      <c r="I91" s="2">
        <v>1</v>
      </c>
    </row>
    <row r="92" spans="1:9" x14ac:dyDescent="0.25">
      <c r="A92" s="2" t="s">
        <v>216</v>
      </c>
      <c r="B92" s="2" t="s">
        <v>16</v>
      </c>
      <c r="C92" s="2" t="s">
        <v>217</v>
      </c>
      <c r="D92" s="2" t="s">
        <v>40</v>
      </c>
      <c r="E92" s="2">
        <v>22458</v>
      </c>
      <c r="F92" s="2">
        <v>46</v>
      </c>
      <c r="G92" s="2">
        <v>12127.32</v>
      </c>
      <c r="H92" s="2" t="s">
        <v>45</v>
      </c>
      <c r="I92" s="2">
        <v>3</v>
      </c>
    </row>
    <row r="93" spans="1:9" x14ac:dyDescent="0.25">
      <c r="A93" s="2" t="s">
        <v>218</v>
      </c>
      <c r="B93" s="2" t="s">
        <v>17</v>
      </c>
      <c r="C93" s="2" t="s">
        <v>219</v>
      </c>
      <c r="D93" s="2" t="s">
        <v>40</v>
      </c>
      <c r="E93" s="2">
        <v>32520</v>
      </c>
      <c r="F93" s="2">
        <v>26</v>
      </c>
      <c r="G93" s="2">
        <v>24064.799999999999</v>
      </c>
      <c r="H93" s="2" t="s">
        <v>51</v>
      </c>
      <c r="I93" s="2">
        <v>5</v>
      </c>
    </row>
    <row r="94" spans="1:9" x14ac:dyDescent="0.25">
      <c r="A94" s="2" t="s">
        <v>220</v>
      </c>
      <c r="B94" s="2" t="s">
        <v>17</v>
      </c>
      <c r="C94" s="2" t="s">
        <v>221</v>
      </c>
      <c r="D94" s="2" t="s">
        <v>62</v>
      </c>
      <c r="E94" s="2">
        <v>32025</v>
      </c>
      <c r="F94" s="2">
        <v>29</v>
      </c>
      <c r="G94" s="2">
        <v>22737.75</v>
      </c>
      <c r="H94" s="2" t="s">
        <v>51</v>
      </c>
      <c r="I94" s="2">
        <v>5</v>
      </c>
    </row>
    <row r="95" spans="1:9" x14ac:dyDescent="0.25">
      <c r="A95" s="2" t="s">
        <v>222</v>
      </c>
      <c r="B95" s="2" t="s">
        <v>16</v>
      </c>
      <c r="C95" s="2" t="s">
        <v>223</v>
      </c>
      <c r="D95" s="2" t="s">
        <v>59</v>
      </c>
      <c r="E95" s="2">
        <v>34641</v>
      </c>
      <c r="F95" s="2">
        <v>21</v>
      </c>
      <c r="G95" s="2">
        <v>27366.39</v>
      </c>
      <c r="H95" s="2" t="s">
        <v>48</v>
      </c>
      <c r="I95" s="2">
        <v>4</v>
      </c>
    </row>
    <row r="96" spans="1:9" x14ac:dyDescent="0.25">
      <c r="A96" s="2" t="s">
        <v>224</v>
      </c>
      <c r="B96" s="2" t="s">
        <v>16</v>
      </c>
      <c r="C96" s="2" t="s">
        <v>225</v>
      </c>
      <c r="D96" s="2" t="s">
        <v>59</v>
      </c>
      <c r="E96" s="2">
        <v>15623</v>
      </c>
      <c r="F96" s="2">
        <v>37</v>
      </c>
      <c r="G96" s="2">
        <v>9842.49</v>
      </c>
      <c r="H96" s="2" t="s">
        <v>48</v>
      </c>
      <c r="I96" s="2">
        <v>2</v>
      </c>
    </row>
    <row r="97" spans="1:9" x14ac:dyDescent="0.25">
      <c r="A97" s="2" t="s">
        <v>226</v>
      </c>
      <c r="B97" s="2" t="s">
        <v>16</v>
      </c>
      <c r="C97" s="2" t="s">
        <v>176</v>
      </c>
      <c r="D97" s="2" t="s">
        <v>44</v>
      </c>
      <c r="E97" s="2">
        <v>30945</v>
      </c>
      <c r="F97" s="2">
        <v>39</v>
      </c>
      <c r="G97" s="2">
        <v>18876.45</v>
      </c>
      <c r="H97" s="2" t="s">
        <v>45</v>
      </c>
      <c r="I97" s="2">
        <v>3</v>
      </c>
    </row>
    <row r="98" spans="1:9" x14ac:dyDescent="0.25">
      <c r="A98" s="2" t="s">
        <v>227</v>
      </c>
      <c r="B98" s="2" t="s">
        <v>16</v>
      </c>
      <c r="C98" s="2" t="s">
        <v>228</v>
      </c>
      <c r="D98" s="2" t="s">
        <v>40</v>
      </c>
      <c r="E98" s="2">
        <v>33695</v>
      </c>
      <c r="F98" s="2">
        <v>22</v>
      </c>
      <c r="G98" s="2">
        <v>26282.1</v>
      </c>
      <c r="H98" s="2" t="s">
        <v>48</v>
      </c>
      <c r="I98" s="2">
        <v>3</v>
      </c>
    </row>
    <row r="99" spans="1:9" x14ac:dyDescent="0.25">
      <c r="A99" s="2" t="s">
        <v>229</v>
      </c>
      <c r="B99" s="2" t="s">
        <v>17</v>
      </c>
      <c r="C99" s="2" t="s">
        <v>230</v>
      </c>
      <c r="D99" s="2" t="s">
        <v>40</v>
      </c>
      <c r="E99" s="2">
        <v>33142</v>
      </c>
      <c r="F99" s="2">
        <v>11</v>
      </c>
      <c r="G99" s="2">
        <v>29496.38</v>
      </c>
      <c r="H99" s="2" t="s">
        <v>51</v>
      </c>
      <c r="I99" s="2">
        <v>3</v>
      </c>
    </row>
    <row r="100" spans="1:9" x14ac:dyDescent="0.25">
      <c r="A100" s="2" t="s">
        <v>231</v>
      </c>
      <c r="B100" s="2" t="s">
        <v>16</v>
      </c>
      <c r="C100" s="2" t="s">
        <v>232</v>
      </c>
      <c r="D100" s="2" t="s">
        <v>62</v>
      </c>
      <c r="E100" s="2">
        <v>19609</v>
      </c>
      <c r="F100" s="2">
        <v>28</v>
      </c>
      <c r="G100" s="2">
        <v>14118.48</v>
      </c>
      <c r="H100" s="2" t="s">
        <v>51</v>
      </c>
      <c r="I100" s="2">
        <v>2</v>
      </c>
    </row>
    <row r="101" spans="1:9" x14ac:dyDescent="0.25">
      <c r="A101" s="2" t="s">
        <v>233</v>
      </c>
      <c r="B101" s="2" t="s">
        <v>17</v>
      </c>
      <c r="C101" s="2" t="s">
        <v>234</v>
      </c>
      <c r="D101" s="2" t="s">
        <v>62</v>
      </c>
      <c r="E101" s="2">
        <v>29555</v>
      </c>
      <c r="F101" s="2">
        <v>15</v>
      </c>
      <c r="G101" s="2">
        <v>25121.75</v>
      </c>
      <c r="H101" s="2" t="s">
        <v>51</v>
      </c>
      <c r="I101" s="2">
        <v>5</v>
      </c>
    </row>
    <row r="102" spans="1:9" x14ac:dyDescent="0.25">
      <c r="A102" s="2" t="s">
        <v>235</v>
      </c>
      <c r="B102" s="2" t="s">
        <v>17</v>
      </c>
      <c r="C102" s="2" t="s">
        <v>236</v>
      </c>
      <c r="D102" s="2" t="s">
        <v>54</v>
      </c>
      <c r="E102" s="2">
        <v>48599</v>
      </c>
      <c r="F102" s="2">
        <v>15</v>
      </c>
      <c r="G102" s="2">
        <v>41309.15</v>
      </c>
      <c r="H102" s="2" t="s">
        <v>48</v>
      </c>
      <c r="I102" s="2">
        <v>1</v>
      </c>
    </row>
    <row r="103" spans="1:9" x14ac:dyDescent="0.25">
      <c r="A103" s="2" t="s">
        <v>237</v>
      </c>
      <c r="B103" s="2" t="s">
        <v>17</v>
      </c>
      <c r="C103" s="2" t="s">
        <v>82</v>
      </c>
      <c r="D103" s="2" t="s">
        <v>59</v>
      </c>
      <c r="E103" s="2">
        <v>49288</v>
      </c>
      <c r="F103" s="2">
        <v>7</v>
      </c>
      <c r="G103" s="2">
        <v>45837.84</v>
      </c>
      <c r="H103" s="2" t="s">
        <v>48</v>
      </c>
      <c r="I103" s="2">
        <v>1</v>
      </c>
    </row>
    <row r="104" spans="1:9" x14ac:dyDescent="0.25">
      <c r="A104" s="2" t="s">
        <v>238</v>
      </c>
      <c r="B104" s="2" t="s">
        <v>17</v>
      </c>
      <c r="C104" s="2" t="s">
        <v>168</v>
      </c>
      <c r="D104" s="2" t="s">
        <v>44</v>
      </c>
      <c r="E104" s="2">
        <v>42535</v>
      </c>
      <c r="F104" s="2">
        <v>24</v>
      </c>
      <c r="G104" s="2">
        <v>32326.6</v>
      </c>
      <c r="H104" s="2" t="s">
        <v>41</v>
      </c>
      <c r="I104" s="2">
        <v>1</v>
      </c>
    </row>
    <row r="105" spans="1:9" x14ac:dyDescent="0.25">
      <c r="A105" s="2" t="s">
        <v>239</v>
      </c>
      <c r="B105" s="2" t="s">
        <v>16</v>
      </c>
      <c r="C105" s="2" t="s">
        <v>240</v>
      </c>
      <c r="D105" s="2" t="s">
        <v>59</v>
      </c>
      <c r="E105" s="2">
        <v>5943</v>
      </c>
      <c r="F105" s="2">
        <v>19</v>
      </c>
      <c r="G105" s="2">
        <v>4813.83</v>
      </c>
      <c r="H105" s="2" t="s">
        <v>48</v>
      </c>
      <c r="I105" s="2">
        <v>3</v>
      </c>
    </row>
    <row r="106" spans="1:9" x14ac:dyDescent="0.25">
      <c r="A106" s="2" t="s">
        <v>241</v>
      </c>
      <c r="B106" s="2" t="s">
        <v>17</v>
      </c>
      <c r="C106" s="2" t="s">
        <v>242</v>
      </c>
      <c r="D106" s="2" t="s">
        <v>44</v>
      </c>
      <c r="E106" s="2">
        <v>43913</v>
      </c>
      <c r="F106" s="2">
        <v>13</v>
      </c>
      <c r="G106" s="2">
        <v>38204.31</v>
      </c>
      <c r="H106" s="2" t="s">
        <v>51</v>
      </c>
      <c r="I106" s="2">
        <v>2</v>
      </c>
    </row>
    <row r="107" spans="1:9" x14ac:dyDescent="0.25">
      <c r="A107" s="2" t="s">
        <v>243</v>
      </c>
      <c r="B107" s="2" t="s">
        <v>17</v>
      </c>
      <c r="C107" s="2" t="s">
        <v>142</v>
      </c>
      <c r="D107" s="2" t="s">
        <v>54</v>
      </c>
      <c r="E107" s="2">
        <v>7934</v>
      </c>
      <c r="F107" s="2">
        <v>8</v>
      </c>
      <c r="G107" s="2">
        <v>7299.28</v>
      </c>
      <c r="H107" s="2" t="s">
        <v>45</v>
      </c>
      <c r="I107" s="2">
        <v>5</v>
      </c>
    </row>
    <row r="108" spans="1:9" x14ac:dyDescent="0.25">
      <c r="A108" s="2" t="s">
        <v>244</v>
      </c>
      <c r="B108" s="2" t="s">
        <v>16</v>
      </c>
      <c r="C108" s="2" t="s">
        <v>158</v>
      </c>
      <c r="D108" s="2" t="s">
        <v>40</v>
      </c>
      <c r="E108" s="2">
        <v>14107</v>
      </c>
      <c r="F108" s="2">
        <v>21</v>
      </c>
      <c r="G108" s="2">
        <v>11144.53</v>
      </c>
      <c r="H108" s="2" t="s">
        <v>41</v>
      </c>
      <c r="I108" s="2">
        <v>3</v>
      </c>
    </row>
    <row r="109" spans="1:9" x14ac:dyDescent="0.25">
      <c r="A109" s="2" t="s">
        <v>245</v>
      </c>
      <c r="B109" s="2" t="s">
        <v>17</v>
      </c>
      <c r="C109" s="2" t="s">
        <v>246</v>
      </c>
      <c r="D109" s="2" t="s">
        <v>59</v>
      </c>
      <c r="E109" s="2">
        <v>9721</v>
      </c>
      <c r="F109" s="2">
        <v>20</v>
      </c>
      <c r="G109" s="2">
        <v>7776.8</v>
      </c>
      <c r="H109" s="2" t="s">
        <v>45</v>
      </c>
      <c r="I109" s="2">
        <v>1</v>
      </c>
    </row>
    <row r="110" spans="1:9" x14ac:dyDescent="0.25">
      <c r="A110" s="2" t="s">
        <v>247</v>
      </c>
      <c r="B110" s="2" t="s">
        <v>16</v>
      </c>
      <c r="C110" s="2" t="s">
        <v>248</v>
      </c>
      <c r="D110" s="2" t="s">
        <v>44</v>
      </c>
      <c r="E110" s="2">
        <v>49111</v>
      </c>
      <c r="F110" s="2">
        <v>27</v>
      </c>
      <c r="G110" s="2">
        <v>35851.03</v>
      </c>
      <c r="H110" s="2" t="s">
        <v>45</v>
      </c>
      <c r="I110" s="2">
        <v>4</v>
      </c>
    </row>
    <row r="111" spans="1:9" x14ac:dyDescent="0.25">
      <c r="A111" s="2" t="s">
        <v>249</v>
      </c>
      <c r="B111" s="2" t="s">
        <v>17</v>
      </c>
      <c r="C111" s="2" t="s">
        <v>250</v>
      </c>
      <c r="D111" s="2" t="s">
        <v>54</v>
      </c>
      <c r="E111" s="2">
        <v>7432</v>
      </c>
      <c r="F111" s="2">
        <v>27</v>
      </c>
      <c r="G111" s="2">
        <v>5425.36</v>
      </c>
      <c r="H111" s="2" t="s">
        <v>45</v>
      </c>
      <c r="I111" s="2">
        <v>2</v>
      </c>
    </row>
    <row r="112" spans="1:9" x14ac:dyDescent="0.25">
      <c r="A112" s="2" t="s">
        <v>251</v>
      </c>
      <c r="B112" s="2" t="s">
        <v>17</v>
      </c>
      <c r="C112" s="2" t="s">
        <v>252</v>
      </c>
      <c r="D112" s="2" t="s">
        <v>40</v>
      </c>
      <c r="E112" s="2">
        <v>42566</v>
      </c>
      <c r="F112" s="2">
        <v>10</v>
      </c>
      <c r="G112" s="2">
        <v>38309.4</v>
      </c>
      <c r="H112" s="2" t="s">
        <v>41</v>
      </c>
      <c r="I112" s="2">
        <v>3</v>
      </c>
    </row>
    <row r="113" spans="1:9" x14ac:dyDescent="0.25">
      <c r="A113" s="2" t="s">
        <v>253</v>
      </c>
      <c r="B113" s="2" t="s">
        <v>17</v>
      </c>
      <c r="C113" s="2" t="s">
        <v>64</v>
      </c>
      <c r="D113" s="2" t="s">
        <v>54</v>
      </c>
      <c r="E113" s="2">
        <v>30609</v>
      </c>
      <c r="F113" s="2">
        <v>27</v>
      </c>
      <c r="G113" s="2">
        <v>22344.57</v>
      </c>
      <c r="H113" s="2" t="s">
        <v>48</v>
      </c>
      <c r="I113" s="2">
        <v>1</v>
      </c>
    </row>
    <row r="114" spans="1:9" x14ac:dyDescent="0.25">
      <c r="A114" s="2" t="s">
        <v>254</v>
      </c>
      <c r="B114" s="2" t="s">
        <v>16</v>
      </c>
      <c r="C114" s="2" t="s">
        <v>255</v>
      </c>
      <c r="D114" s="2" t="s">
        <v>44</v>
      </c>
      <c r="E114" s="2">
        <v>40967</v>
      </c>
      <c r="F114" s="2">
        <v>29</v>
      </c>
      <c r="G114" s="2">
        <v>29086.57</v>
      </c>
      <c r="H114" s="2" t="s">
        <v>51</v>
      </c>
      <c r="I114" s="2">
        <v>3</v>
      </c>
    </row>
    <row r="115" spans="1:9" x14ac:dyDescent="0.25">
      <c r="A115" s="2" t="s">
        <v>256</v>
      </c>
      <c r="B115" s="2" t="s">
        <v>17</v>
      </c>
      <c r="C115" s="2" t="s">
        <v>257</v>
      </c>
      <c r="D115" s="2" t="s">
        <v>62</v>
      </c>
      <c r="E115" s="2">
        <v>31611</v>
      </c>
      <c r="F115" s="2">
        <v>24</v>
      </c>
      <c r="G115" s="2">
        <v>24024.36</v>
      </c>
      <c r="H115" s="2" t="s">
        <v>45</v>
      </c>
      <c r="I115" s="2">
        <v>2</v>
      </c>
    </row>
    <row r="116" spans="1:9" x14ac:dyDescent="0.25">
      <c r="A116" s="2" t="s">
        <v>258</v>
      </c>
      <c r="B116" s="2" t="s">
        <v>16</v>
      </c>
      <c r="C116" s="2" t="s">
        <v>259</v>
      </c>
      <c r="D116" s="2" t="s">
        <v>54</v>
      </c>
      <c r="E116" s="2">
        <v>46685</v>
      </c>
      <c r="F116" s="2">
        <v>24</v>
      </c>
      <c r="G116" s="2">
        <v>35480.6</v>
      </c>
      <c r="H116" s="2" t="s">
        <v>45</v>
      </c>
      <c r="I116" s="2">
        <v>2</v>
      </c>
    </row>
    <row r="117" spans="1:9" x14ac:dyDescent="0.25">
      <c r="A117" s="2" t="s">
        <v>260</v>
      </c>
      <c r="B117" s="2" t="s">
        <v>17</v>
      </c>
      <c r="C117" s="2" t="s">
        <v>261</v>
      </c>
      <c r="D117" s="2" t="s">
        <v>40</v>
      </c>
      <c r="E117" s="2">
        <v>20973</v>
      </c>
      <c r="F117" s="2">
        <v>13</v>
      </c>
      <c r="G117" s="2">
        <v>18246.509999999998</v>
      </c>
      <c r="H117" s="2" t="s">
        <v>51</v>
      </c>
      <c r="I117" s="2">
        <v>5</v>
      </c>
    </row>
    <row r="118" spans="1:9" x14ac:dyDescent="0.25">
      <c r="A118" s="2" t="s">
        <v>262</v>
      </c>
      <c r="B118" s="2" t="s">
        <v>17</v>
      </c>
      <c r="C118" s="2" t="s">
        <v>263</v>
      </c>
      <c r="D118" s="2" t="s">
        <v>54</v>
      </c>
      <c r="E118" s="2">
        <v>23912</v>
      </c>
      <c r="F118" s="2">
        <v>21</v>
      </c>
      <c r="G118" s="2">
        <v>18890.48</v>
      </c>
      <c r="H118" s="2" t="s">
        <v>45</v>
      </c>
      <c r="I118" s="2">
        <v>3</v>
      </c>
    </row>
    <row r="119" spans="1:9" x14ac:dyDescent="0.25">
      <c r="A119" s="2" t="s">
        <v>264</v>
      </c>
      <c r="B119" s="2" t="s">
        <v>16</v>
      </c>
      <c r="C119" s="2" t="s">
        <v>265</v>
      </c>
      <c r="D119" s="2" t="s">
        <v>62</v>
      </c>
      <c r="E119" s="2">
        <v>21102</v>
      </c>
      <c r="F119" s="2">
        <v>49</v>
      </c>
      <c r="G119" s="2">
        <v>10762.02</v>
      </c>
      <c r="H119" s="2" t="s">
        <v>48</v>
      </c>
      <c r="I119" s="2">
        <v>1</v>
      </c>
    </row>
    <row r="120" spans="1:9" x14ac:dyDescent="0.25">
      <c r="A120" s="2" t="s">
        <v>266</v>
      </c>
      <c r="B120" s="2" t="s">
        <v>17</v>
      </c>
      <c r="C120" s="2" t="s">
        <v>72</v>
      </c>
      <c r="D120" s="2" t="s">
        <v>59</v>
      </c>
      <c r="E120" s="2">
        <v>8443</v>
      </c>
      <c r="F120" s="2">
        <v>23</v>
      </c>
      <c r="G120" s="2">
        <v>6501.11</v>
      </c>
      <c r="H120" s="2" t="s">
        <v>45</v>
      </c>
      <c r="I120" s="2">
        <v>2</v>
      </c>
    </row>
    <row r="121" spans="1:9" x14ac:dyDescent="0.25">
      <c r="A121" s="2" t="s">
        <v>267</v>
      </c>
      <c r="B121" s="2" t="s">
        <v>17</v>
      </c>
      <c r="C121" s="2" t="s">
        <v>268</v>
      </c>
      <c r="D121" s="2" t="s">
        <v>62</v>
      </c>
      <c r="E121" s="2">
        <v>14992</v>
      </c>
      <c r="F121" s="2">
        <v>26</v>
      </c>
      <c r="G121" s="2">
        <v>11094.08</v>
      </c>
      <c r="H121" s="2" t="s">
        <v>45</v>
      </c>
      <c r="I121" s="2">
        <v>2</v>
      </c>
    </row>
    <row r="122" spans="1:9" x14ac:dyDescent="0.25">
      <c r="A122" s="2" t="s">
        <v>269</v>
      </c>
      <c r="B122" s="2" t="s">
        <v>16</v>
      </c>
      <c r="C122" s="2" t="s">
        <v>270</v>
      </c>
      <c r="D122" s="2" t="s">
        <v>59</v>
      </c>
      <c r="E122" s="2">
        <v>48380</v>
      </c>
      <c r="F122" s="2">
        <v>45</v>
      </c>
      <c r="G122" s="2">
        <v>26609</v>
      </c>
      <c r="H122" s="2" t="s">
        <v>41</v>
      </c>
      <c r="I122" s="2">
        <v>1</v>
      </c>
    </row>
    <row r="123" spans="1:9" x14ac:dyDescent="0.25">
      <c r="A123" s="2" t="s">
        <v>271</v>
      </c>
      <c r="B123" s="2" t="s">
        <v>17</v>
      </c>
      <c r="C123" s="2" t="s">
        <v>272</v>
      </c>
      <c r="D123" s="2" t="s">
        <v>62</v>
      </c>
      <c r="E123" s="2">
        <v>31920</v>
      </c>
      <c r="F123" s="2">
        <v>20</v>
      </c>
      <c r="G123" s="2">
        <v>25536</v>
      </c>
      <c r="H123" s="2" t="s">
        <v>41</v>
      </c>
      <c r="I123" s="2">
        <v>2</v>
      </c>
    </row>
    <row r="124" spans="1:9" x14ac:dyDescent="0.25">
      <c r="A124" s="2" t="s">
        <v>273</v>
      </c>
      <c r="B124" s="2" t="s">
        <v>17</v>
      </c>
      <c r="C124" s="2" t="s">
        <v>274</v>
      </c>
      <c r="D124" s="2" t="s">
        <v>54</v>
      </c>
      <c r="E124" s="2">
        <v>40468</v>
      </c>
      <c r="F124" s="2">
        <v>17</v>
      </c>
      <c r="G124" s="2">
        <v>33588.44</v>
      </c>
      <c r="H124" s="2" t="s">
        <v>41</v>
      </c>
      <c r="I124" s="2">
        <v>2</v>
      </c>
    </row>
    <row r="125" spans="1:9" x14ac:dyDescent="0.25">
      <c r="A125" s="2" t="s">
        <v>275</v>
      </c>
      <c r="B125" s="2" t="s">
        <v>16</v>
      </c>
      <c r="C125" s="2" t="s">
        <v>276</v>
      </c>
      <c r="D125" s="2" t="s">
        <v>59</v>
      </c>
      <c r="E125" s="2">
        <v>20938</v>
      </c>
      <c r="F125" s="2">
        <v>32</v>
      </c>
      <c r="G125" s="2">
        <v>14237.84</v>
      </c>
      <c r="H125" s="2" t="s">
        <v>48</v>
      </c>
      <c r="I125" s="2">
        <v>5</v>
      </c>
    </row>
    <row r="126" spans="1:9" x14ac:dyDescent="0.25">
      <c r="A126" s="2" t="s">
        <v>277</v>
      </c>
      <c r="B126" s="2" t="s">
        <v>17</v>
      </c>
      <c r="C126" s="2" t="s">
        <v>278</v>
      </c>
      <c r="D126" s="2" t="s">
        <v>54</v>
      </c>
      <c r="E126" s="2">
        <v>17941</v>
      </c>
      <c r="F126" s="2">
        <v>7</v>
      </c>
      <c r="G126" s="2">
        <v>16685.13</v>
      </c>
      <c r="H126" s="2" t="s">
        <v>51</v>
      </c>
      <c r="I126" s="2">
        <v>1</v>
      </c>
    </row>
    <row r="127" spans="1:9" x14ac:dyDescent="0.25">
      <c r="A127" s="2" t="s">
        <v>279</v>
      </c>
      <c r="B127" s="2" t="s">
        <v>16</v>
      </c>
      <c r="C127" s="2" t="s">
        <v>280</v>
      </c>
      <c r="D127" s="2" t="s">
        <v>40</v>
      </c>
      <c r="E127" s="2">
        <v>19177</v>
      </c>
      <c r="F127" s="2">
        <v>35</v>
      </c>
      <c r="G127" s="2">
        <v>12465.05</v>
      </c>
      <c r="H127" s="2" t="s">
        <v>51</v>
      </c>
      <c r="I127" s="2">
        <v>4</v>
      </c>
    </row>
    <row r="128" spans="1:9" x14ac:dyDescent="0.25">
      <c r="A128" s="2" t="s">
        <v>281</v>
      </c>
      <c r="B128" s="2" t="s">
        <v>17</v>
      </c>
      <c r="C128" s="2" t="s">
        <v>282</v>
      </c>
      <c r="D128" s="2" t="s">
        <v>62</v>
      </c>
      <c r="E128" s="2">
        <v>44573</v>
      </c>
      <c r="F128" s="2">
        <v>29</v>
      </c>
      <c r="G128" s="2">
        <v>31646.83</v>
      </c>
      <c r="H128" s="2" t="s">
        <v>45</v>
      </c>
      <c r="I128" s="2">
        <v>5</v>
      </c>
    </row>
    <row r="129" spans="1:9" x14ac:dyDescent="0.25">
      <c r="A129" s="2" t="s">
        <v>283</v>
      </c>
      <c r="B129" s="2" t="s">
        <v>16</v>
      </c>
      <c r="C129" s="2" t="s">
        <v>284</v>
      </c>
      <c r="D129" s="2" t="s">
        <v>54</v>
      </c>
      <c r="E129" s="2">
        <v>10144</v>
      </c>
      <c r="F129" s="2">
        <v>49</v>
      </c>
      <c r="G129" s="2">
        <v>5173.4399999999996</v>
      </c>
      <c r="H129" s="2" t="s">
        <v>41</v>
      </c>
      <c r="I129" s="2">
        <v>5</v>
      </c>
    </row>
    <row r="130" spans="1:9" x14ac:dyDescent="0.25">
      <c r="A130" s="2" t="s">
        <v>285</v>
      </c>
      <c r="B130" s="2" t="s">
        <v>17</v>
      </c>
      <c r="C130" s="2" t="s">
        <v>221</v>
      </c>
      <c r="D130" s="2" t="s">
        <v>54</v>
      </c>
      <c r="E130" s="2">
        <v>36846</v>
      </c>
      <c r="F130" s="2">
        <v>23</v>
      </c>
      <c r="G130" s="2">
        <v>28371.42</v>
      </c>
      <c r="H130" s="2" t="s">
        <v>51</v>
      </c>
      <c r="I130" s="2">
        <v>1</v>
      </c>
    </row>
    <row r="131" spans="1:9" x14ac:dyDescent="0.25">
      <c r="A131" s="2" t="s">
        <v>286</v>
      </c>
      <c r="B131" s="2" t="s">
        <v>16</v>
      </c>
      <c r="C131" s="2" t="s">
        <v>230</v>
      </c>
      <c r="D131" s="2" t="s">
        <v>59</v>
      </c>
      <c r="E131" s="2">
        <v>26691</v>
      </c>
      <c r="F131" s="2">
        <v>48</v>
      </c>
      <c r="G131" s="2">
        <v>13879.32</v>
      </c>
      <c r="H131" s="2" t="s">
        <v>41</v>
      </c>
      <c r="I131" s="2">
        <v>1</v>
      </c>
    </row>
    <row r="132" spans="1:9" x14ac:dyDescent="0.25">
      <c r="A132" s="2" t="s">
        <v>287</v>
      </c>
      <c r="B132" s="2" t="s">
        <v>17</v>
      </c>
      <c r="C132" s="2" t="s">
        <v>288</v>
      </c>
      <c r="D132" s="2" t="s">
        <v>62</v>
      </c>
      <c r="E132" s="2">
        <v>39844</v>
      </c>
      <c r="F132" s="2">
        <v>16</v>
      </c>
      <c r="G132" s="2">
        <v>33468.959999999999</v>
      </c>
      <c r="H132" s="2" t="s">
        <v>41</v>
      </c>
      <c r="I132" s="2">
        <v>5</v>
      </c>
    </row>
    <row r="133" spans="1:9" x14ac:dyDescent="0.25">
      <c r="A133" s="2" t="s">
        <v>289</v>
      </c>
      <c r="B133" s="2" t="s">
        <v>16</v>
      </c>
      <c r="C133" s="2" t="s">
        <v>290</v>
      </c>
      <c r="D133" s="2" t="s">
        <v>62</v>
      </c>
      <c r="E133" s="2">
        <v>31396</v>
      </c>
      <c r="F133" s="2">
        <v>31</v>
      </c>
      <c r="G133" s="2">
        <v>21663.24</v>
      </c>
      <c r="H133" s="2" t="s">
        <v>51</v>
      </c>
      <c r="I133" s="2">
        <v>1</v>
      </c>
    </row>
    <row r="134" spans="1:9" x14ac:dyDescent="0.25">
      <c r="A134" s="2" t="s">
        <v>291</v>
      </c>
      <c r="B134" s="2" t="s">
        <v>17</v>
      </c>
      <c r="C134" s="2" t="s">
        <v>47</v>
      </c>
      <c r="D134" s="2" t="s">
        <v>54</v>
      </c>
      <c r="E134" s="2">
        <v>36089</v>
      </c>
      <c r="F134" s="2">
        <v>9</v>
      </c>
      <c r="G134" s="2">
        <v>32840.99</v>
      </c>
      <c r="H134" s="2" t="s">
        <v>45</v>
      </c>
      <c r="I134" s="2">
        <v>4</v>
      </c>
    </row>
    <row r="135" spans="1:9" x14ac:dyDescent="0.25">
      <c r="A135" s="2" t="s">
        <v>292</v>
      </c>
      <c r="B135" s="2" t="s">
        <v>16</v>
      </c>
      <c r="C135" s="2" t="s">
        <v>257</v>
      </c>
      <c r="D135" s="2" t="s">
        <v>59</v>
      </c>
      <c r="E135" s="2">
        <v>44561</v>
      </c>
      <c r="F135" s="2">
        <v>23</v>
      </c>
      <c r="G135" s="2">
        <v>34311.97</v>
      </c>
      <c r="H135" s="2" t="s">
        <v>51</v>
      </c>
      <c r="I135" s="2">
        <v>3</v>
      </c>
    </row>
    <row r="136" spans="1:9" x14ac:dyDescent="0.25">
      <c r="A136" s="2" t="s">
        <v>293</v>
      </c>
      <c r="B136" s="2" t="s">
        <v>17</v>
      </c>
      <c r="C136" s="2" t="s">
        <v>294</v>
      </c>
      <c r="D136" s="2" t="s">
        <v>44</v>
      </c>
      <c r="E136" s="2">
        <v>34967</v>
      </c>
      <c r="F136" s="2">
        <v>25</v>
      </c>
      <c r="G136" s="2">
        <v>26225.25</v>
      </c>
      <c r="H136" s="2" t="s">
        <v>48</v>
      </c>
      <c r="I136" s="2">
        <v>3</v>
      </c>
    </row>
    <row r="137" spans="1:9" x14ac:dyDescent="0.25">
      <c r="A137" s="2" t="s">
        <v>295</v>
      </c>
      <c r="B137" s="2" t="s">
        <v>16</v>
      </c>
      <c r="C137" s="2" t="s">
        <v>296</v>
      </c>
      <c r="D137" s="2" t="s">
        <v>62</v>
      </c>
      <c r="E137" s="2">
        <v>4589</v>
      </c>
      <c r="F137" s="2">
        <v>39</v>
      </c>
      <c r="G137" s="2">
        <v>2799.29</v>
      </c>
      <c r="H137" s="2" t="s">
        <v>45</v>
      </c>
      <c r="I137" s="2">
        <v>4</v>
      </c>
    </row>
    <row r="138" spans="1:9" x14ac:dyDescent="0.25">
      <c r="A138" s="2" t="s">
        <v>297</v>
      </c>
      <c r="B138" s="2" t="s">
        <v>17</v>
      </c>
      <c r="C138" s="2" t="s">
        <v>298</v>
      </c>
      <c r="D138" s="2" t="s">
        <v>40</v>
      </c>
      <c r="E138" s="2">
        <v>48809</v>
      </c>
      <c r="F138" s="2">
        <v>11</v>
      </c>
      <c r="G138" s="2">
        <v>43440.01</v>
      </c>
      <c r="H138" s="2" t="s">
        <v>48</v>
      </c>
      <c r="I138" s="2">
        <v>5</v>
      </c>
    </row>
    <row r="139" spans="1:9" x14ac:dyDescent="0.25">
      <c r="A139" s="2" t="s">
        <v>299</v>
      </c>
      <c r="B139" s="2" t="s">
        <v>16</v>
      </c>
      <c r="C139" s="2" t="s">
        <v>300</v>
      </c>
      <c r="D139" s="2" t="s">
        <v>62</v>
      </c>
      <c r="E139" s="2">
        <v>12249</v>
      </c>
      <c r="F139" s="2">
        <v>15</v>
      </c>
      <c r="G139" s="2">
        <v>10411.65</v>
      </c>
      <c r="H139" s="2" t="s">
        <v>45</v>
      </c>
      <c r="I139" s="2">
        <v>2</v>
      </c>
    </row>
    <row r="140" spans="1:9" x14ac:dyDescent="0.25">
      <c r="A140" s="2" t="s">
        <v>301</v>
      </c>
      <c r="B140" s="2" t="s">
        <v>16</v>
      </c>
      <c r="C140" s="2" t="s">
        <v>302</v>
      </c>
      <c r="D140" s="2" t="s">
        <v>62</v>
      </c>
      <c r="E140" s="2">
        <v>16845</v>
      </c>
      <c r="F140" s="2">
        <v>41</v>
      </c>
      <c r="G140" s="2">
        <v>9938.5499999999993</v>
      </c>
      <c r="H140" s="2" t="s">
        <v>45</v>
      </c>
      <c r="I140" s="2">
        <v>5</v>
      </c>
    </row>
    <row r="141" spans="1:9" x14ac:dyDescent="0.25">
      <c r="A141" s="2" t="s">
        <v>303</v>
      </c>
      <c r="B141" s="2" t="s">
        <v>16</v>
      </c>
      <c r="C141" s="2" t="s">
        <v>304</v>
      </c>
      <c r="D141" s="2" t="s">
        <v>54</v>
      </c>
      <c r="E141" s="2">
        <v>15749</v>
      </c>
      <c r="F141" s="2">
        <v>16</v>
      </c>
      <c r="G141" s="2">
        <v>13229.16</v>
      </c>
      <c r="H141" s="2" t="s">
        <v>45</v>
      </c>
      <c r="I141" s="2">
        <v>5</v>
      </c>
    </row>
    <row r="142" spans="1:9" x14ac:dyDescent="0.25">
      <c r="A142" s="2" t="s">
        <v>305</v>
      </c>
      <c r="B142" s="2" t="s">
        <v>17</v>
      </c>
      <c r="C142" s="2" t="s">
        <v>306</v>
      </c>
      <c r="D142" s="2" t="s">
        <v>54</v>
      </c>
      <c r="E142" s="2">
        <v>21150</v>
      </c>
      <c r="F142" s="2">
        <v>10</v>
      </c>
      <c r="G142" s="2">
        <v>19035</v>
      </c>
      <c r="H142" s="2" t="s">
        <v>45</v>
      </c>
      <c r="I142" s="2">
        <v>4</v>
      </c>
    </row>
    <row r="143" spans="1:9" x14ac:dyDescent="0.25">
      <c r="A143" s="2" t="s">
        <v>307</v>
      </c>
      <c r="B143" s="2" t="s">
        <v>17</v>
      </c>
      <c r="C143" s="2" t="s">
        <v>308</v>
      </c>
      <c r="D143" s="2" t="s">
        <v>44</v>
      </c>
      <c r="E143" s="2">
        <v>13234</v>
      </c>
      <c r="F143" s="2">
        <v>24</v>
      </c>
      <c r="G143" s="2">
        <v>10057.84</v>
      </c>
      <c r="H143" s="2" t="s">
        <v>51</v>
      </c>
      <c r="I143" s="2">
        <v>4</v>
      </c>
    </row>
    <row r="144" spans="1:9" x14ac:dyDescent="0.25">
      <c r="A144" s="2" t="s">
        <v>309</v>
      </c>
      <c r="B144" s="2" t="s">
        <v>17</v>
      </c>
      <c r="C144" s="2" t="s">
        <v>86</v>
      </c>
      <c r="D144" s="2" t="s">
        <v>59</v>
      </c>
      <c r="E144" s="2">
        <v>4471</v>
      </c>
      <c r="F144" s="2">
        <v>6</v>
      </c>
      <c r="G144" s="2">
        <v>4202.74</v>
      </c>
      <c r="H144" s="2" t="s">
        <v>51</v>
      </c>
      <c r="I144" s="2">
        <v>5</v>
      </c>
    </row>
    <row r="145" spans="1:9" x14ac:dyDescent="0.25">
      <c r="A145" s="2" t="s">
        <v>310</v>
      </c>
      <c r="B145" s="2" t="s">
        <v>17</v>
      </c>
      <c r="C145" s="2" t="s">
        <v>311</v>
      </c>
      <c r="D145" s="2" t="s">
        <v>44</v>
      </c>
      <c r="E145" s="2">
        <v>29019</v>
      </c>
      <c r="F145" s="2">
        <v>25</v>
      </c>
      <c r="G145" s="2">
        <v>21764.25</v>
      </c>
      <c r="H145" s="2" t="s">
        <v>48</v>
      </c>
      <c r="I145" s="2">
        <v>1</v>
      </c>
    </row>
    <row r="146" spans="1:9" x14ac:dyDescent="0.25">
      <c r="A146" s="2" t="s">
        <v>312</v>
      </c>
      <c r="B146" s="2" t="s">
        <v>17</v>
      </c>
      <c r="C146" s="2" t="s">
        <v>131</v>
      </c>
      <c r="D146" s="2" t="s">
        <v>59</v>
      </c>
      <c r="E146" s="2">
        <v>34826</v>
      </c>
      <c r="F146" s="2">
        <v>17</v>
      </c>
      <c r="G146" s="2">
        <v>28905.58</v>
      </c>
      <c r="H146" s="2" t="s">
        <v>41</v>
      </c>
      <c r="I146" s="2">
        <v>4</v>
      </c>
    </row>
    <row r="147" spans="1:9" x14ac:dyDescent="0.25">
      <c r="A147" s="2" t="s">
        <v>313</v>
      </c>
      <c r="B147" s="2" t="s">
        <v>16</v>
      </c>
      <c r="C147" s="2" t="s">
        <v>314</v>
      </c>
      <c r="D147" s="2" t="s">
        <v>62</v>
      </c>
      <c r="E147" s="2">
        <v>36460</v>
      </c>
      <c r="F147" s="2">
        <v>30</v>
      </c>
      <c r="G147" s="2">
        <v>25522</v>
      </c>
      <c r="H147" s="2" t="s">
        <v>48</v>
      </c>
      <c r="I147" s="2">
        <v>5</v>
      </c>
    </row>
    <row r="148" spans="1:9" x14ac:dyDescent="0.25">
      <c r="A148" s="2" t="s">
        <v>315</v>
      </c>
      <c r="B148" s="2" t="s">
        <v>16</v>
      </c>
      <c r="C148" s="2" t="s">
        <v>316</v>
      </c>
      <c r="D148" s="2" t="s">
        <v>54</v>
      </c>
      <c r="E148" s="2">
        <v>40651</v>
      </c>
      <c r="F148" s="2">
        <v>26</v>
      </c>
      <c r="G148" s="2">
        <v>30081.74</v>
      </c>
      <c r="H148" s="2" t="s">
        <v>48</v>
      </c>
      <c r="I148" s="2">
        <v>1</v>
      </c>
    </row>
    <row r="149" spans="1:9" x14ac:dyDescent="0.25">
      <c r="A149" s="2" t="s">
        <v>317</v>
      </c>
      <c r="B149" s="2" t="s">
        <v>16</v>
      </c>
      <c r="C149" s="2" t="s">
        <v>278</v>
      </c>
      <c r="D149" s="2" t="s">
        <v>54</v>
      </c>
      <c r="E149" s="2">
        <v>10508</v>
      </c>
      <c r="F149" s="2">
        <v>33</v>
      </c>
      <c r="G149" s="2">
        <v>7040.36</v>
      </c>
      <c r="H149" s="2" t="s">
        <v>48</v>
      </c>
      <c r="I149" s="2">
        <v>2</v>
      </c>
    </row>
    <row r="150" spans="1:9" x14ac:dyDescent="0.25">
      <c r="A150" s="2" t="s">
        <v>318</v>
      </c>
      <c r="B150" s="2" t="s">
        <v>16</v>
      </c>
      <c r="C150" s="2" t="s">
        <v>319</v>
      </c>
      <c r="D150" s="2" t="s">
        <v>44</v>
      </c>
      <c r="E150" s="2">
        <v>375</v>
      </c>
      <c r="F150" s="2">
        <v>25</v>
      </c>
      <c r="G150" s="2">
        <v>281.25</v>
      </c>
      <c r="H150" s="2" t="s">
        <v>41</v>
      </c>
      <c r="I150" s="2">
        <v>4</v>
      </c>
    </row>
    <row r="151" spans="1:9" x14ac:dyDescent="0.25">
      <c r="A151" s="2" t="s">
        <v>320</v>
      </c>
      <c r="B151" s="2" t="s">
        <v>16</v>
      </c>
      <c r="C151" s="2" t="s">
        <v>321</v>
      </c>
      <c r="D151" s="2" t="s">
        <v>62</v>
      </c>
      <c r="E151" s="2">
        <v>12756</v>
      </c>
      <c r="F151" s="2">
        <v>38</v>
      </c>
      <c r="G151" s="2">
        <v>7908.72</v>
      </c>
      <c r="H151" s="2" t="s">
        <v>41</v>
      </c>
      <c r="I151" s="2">
        <v>2</v>
      </c>
    </row>
    <row r="152" spans="1:9" x14ac:dyDescent="0.25">
      <c r="A152" s="2" t="s">
        <v>322</v>
      </c>
      <c r="B152" s="2" t="s">
        <v>17</v>
      </c>
      <c r="C152" s="2" t="s">
        <v>323</v>
      </c>
      <c r="D152" s="2" t="s">
        <v>62</v>
      </c>
      <c r="E152" s="2">
        <v>21673</v>
      </c>
      <c r="F152" s="2">
        <v>13</v>
      </c>
      <c r="G152" s="2">
        <v>18855.509999999998</v>
      </c>
      <c r="H152" s="2" t="s">
        <v>51</v>
      </c>
      <c r="I152" s="2">
        <v>2</v>
      </c>
    </row>
    <row r="153" spans="1:9" x14ac:dyDescent="0.25">
      <c r="A153" s="2" t="s">
        <v>324</v>
      </c>
      <c r="B153" s="2" t="s">
        <v>17</v>
      </c>
      <c r="C153" s="2" t="s">
        <v>325</v>
      </c>
      <c r="D153" s="2" t="s">
        <v>54</v>
      </c>
      <c r="E153" s="2">
        <v>19470</v>
      </c>
      <c r="F153" s="2">
        <v>9</v>
      </c>
      <c r="G153" s="2">
        <v>17717.7</v>
      </c>
      <c r="H153" s="2" t="s">
        <v>41</v>
      </c>
      <c r="I153" s="2">
        <v>2</v>
      </c>
    </row>
    <row r="154" spans="1:9" x14ac:dyDescent="0.25">
      <c r="A154" s="2" t="s">
        <v>326</v>
      </c>
      <c r="B154" s="2" t="s">
        <v>16</v>
      </c>
      <c r="C154" s="2" t="s">
        <v>327</v>
      </c>
      <c r="D154" s="2" t="s">
        <v>54</v>
      </c>
      <c r="E154" s="2">
        <v>33440</v>
      </c>
      <c r="F154" s="2">
        <v>15</v>
      </c>
      <c r="G154" s="2">
        <v>28424</v>
      </c>
      <c r="H154" s="2" t="s">
        <v>45</v>
      </c>
      <c r="I154" s="2">
        <v>4</v>
      </c>
    </row>
    <row r="155" spans="1:9" x14ac:dyDescent="0.25">
      <c r="A155" s="2" t="s">
        <v>328</v>
      </c>
      <c r="B155" s="2" t="s">
        <v>17</v>
      </c>
      <c r="C155" s="2" t="s">
        <v>191</v>
      </c>
      <c r="D155" s="2" t="s">
        <v>40</v>
      </c>
      <c r="E155" s="2">
        <v>40469</v>
      </c>
      <c r="F155" s="2">
        <v>20</v>
      </c>
      <c r="G155" s="2">
        <v>32375.200000000001</v>
      </c>
      <c r="H155" s="2" t="s">
        <v>45</v>
      </c>
      <c r="I155" s="2">
        <v>5</v>
      </c>
    </row>
    <row r="156" spans="1:9" x14ac:dyDescent="0.25">
      <c r="A156" s="2" t="s">
        <v>329</v>
      </c>
      <c r="B156" s="2" t="s">
        <v>17</v>
      </c>
      <c r="C156" s="2" t="s">
        <v>217</v>
      </c>
      <c r="D156" s="2" t="s">
        <v>54</v>
      </c>
      <c r="E156" s="2">
        <v>40073</v>
      </c>
      <c r="F156" s="2">
        <v>25</v>
      </c>
      <c r="G156" s="2">
        <v>30054.75</v>
      </c>
      <c r="H156" s="2" t="s">
        <v>41</v>
      </c>
      <c r="I156" s="2">
        <v>4</v>
      </c>
    </row>
    <row r="157" spans="1:9" x14ac:dyDescent="0.25">
      <c r="A157" s="2" t="s">
        <v>330</v>
      </c>
      <c r="B157" s="2" t="s">
        <v>16</v>
      </c>
      <c r="C157" s="2" t="s">
        <v>331</v>
      </c>
      <c r="D157" s="2" t="s">
        <v>59</v>
      </c>
      <c r="E157" s="2">
        <v>41357</v>
      </c>
      <c r="F157" s="2">
        <v>28</v>
      </c>
      <c r="G157" s="2">
        <v>29777.040000000001</v>
      </c>
      <c r="H157" s="2" t="s">
        <v>45</v>
      </c>
      <c r="I157" s="2">
        <v>5</v>
      </c>
    </row>
    <row r="158" spans="1:9" x14ac:dyDescent="0.25">
      <c r="A158" s="2" t="s">
        <v>332</v>
      </c>
      <c r="B158" s="2" t="s">
        <v>16</v>
      </c>
      <c r="C158" s="2" t="s">
        <v>139</v>
      </c>
      <c r="D158" s="2" t="s">
        <v>59</v>
      </c>
      <c r="E158" s="2">
        <v>46233</v>
      </c>
      <c r="F158" s="2">
        <v>49</v>
      </c>
      <c r="G158" s="2">
        <v>23578.83</v>
      </c>
      <c r="H158" s="2" t="s">
        <v>45</v>
      </c>
      <c r="I158" s="2">
        <v>3</v>
      </c>
    </row>
    <row r="159" spans="1:9" x14ac:dyDescent="0.25">
      <c r="A159" s="2" t="s">
        <v>333</v>
      </c>
      <c r="B159" s="2" t="s">
        <v>17</v>
      </c>
      <c r="C159" s="2" t="s">
        <v>334</v>
      </c>
      <c r="D159" s="2" t="s">
        <v>54</v>
      </c>
      <c r="E159" s="2">
        <v>43582</v>
      </c>
      <c r="F159" s="2">
        <v>23</v>
      </c>
      <c r="G159" s="2">
        <v>33558.14</v>
      </c>
      <c r="H159" s="2" t="s">
        <v>51</v>
      </c>
      <c r="I159" s="2">
        <v>1</v>
      </c>
    </row>
    <row r="160" spans="1:9" x14ac:dyDescent="0.25">
      <c r="A160" s="2" t="s">
        <v>335</v>
      </c>
      <c r="B160" s="2" t="s">
        <v>16</v>
      </c>
      <c r="C160" s="2" t="s">
        <v>259</v>
      </c>
      <c r="D160" s="2" t="s">
        <v>59</v>
      </c>
      <c r="E160" s="2">
        <v>24281</v>
      </c>
      <c r="F160" s="2">
        <v>35</v>
      </c>
      <c r="G160" s="2">
        <v>15782.65</v>
      </c>
      <c r="H160" s="2" t="s">
        <v>45</v>
      </c>
      <c r="I160" s="2">
        <v>4</v>
      </c>
    </row>
    <row r="161" spans="1:9" x14ac:dyDescent="0.25">
      <c r="A161" s="2" t="s">
        <v>336</v>
      </c>
      <c r="B161" s="2" t="s">
        <v>16</v>
      </c>
      <c r="C161" s="2" t="s">
        <v>74</v>
      </c>
      <c r="D161" s="2" t="s">
        <v>62</v>
      </c>
      <c r="E161" s="2">
        <v>17610</v>
      </c>
      <c r="F161" s="2">
        <v>48</v>
      </c>
      <c r="G161" s="2">
        <v>9157.2000000000007</v>
      </c>
      <c r="H161" s="2" t="s">
        <v>51</v>
      </c>
      <c r="I161" s="2">
        <v>2</v>
      </c>
    </row>
    <row r="162" spans="1:9" x14ac:dyDescent="0.25">
      <c r="A162" s="2" t="s">
        <v>337</v>
      </c>
      <c r="B162" s="2" t="s">
        <v>16</v>
      </c>
      <c r="C162" s="2" t="s">
        <v>56</v>
      </c>
      <c r="D162" s="2" t="s">
        <v>54</v>
      </c>
      <c r="E162" s="2">
        <v>20456</v>
      </c>
      <c r="F162" s="2">
        <v>31</v>
      </c>
      <c r="G162" s="2">
        <v>14114.64</v>
      </c>
      <c r="H162" s="2" t="s">
        <v>48</v>
      </c>
      <c r="I162" s="2">
        <v>1</v>
      </c>
    </row>
    <row r="163" spans="1:9" x14ac:dyDescent="0.25">
      <c r="A163" s="2" t="s">
        <v>338</v>
      </c>
      <c r="B163" s="2" t="s">
        <v>17</v>
      </c>
      <c r="C163" s="2" t="s">
        <v>180</v>
      </c>
      <c r="D163" s="2" t="s">
        <v>40</v>
      </c>
      <c r="E163" s="2">
        <v>39613</v>
      </c>
      <c r="F163" s="2">
        <v>27</v>
      </c>
      <c r="G163" s="2">
        <v>28917.49</v>
      </c>
      <c r="H163" s="2" t="s">
        <v>45</v>
      </c>
      <c r="I163" s="2">
        <v>2</v>
      </c>
    </row>
    <row r="164" spans="1:9" x14ac:dyDescent="0.25">
      <c r="A164" s="2" t="s">
        <v>339</v>
      </c>
      <c r="B164" s="2" t="s">
        <v>17</v>
      </c>
      <c r="C164" s="2" t="s">
        <v>234</v>
      </c>
      <c r="D164" s="2" t="s">
        <v>59</v>
      </c>
      <c r="E164" s="2">
        <v>35532</v>
      </c>
      <c r="F164" s="2">
        <v>10</v>
      </c>
      <c r="G164" s="2">
        <v>31978.799999999999</v>
      </c>
      <c r="H164" s="2" t="s">
        <v>48</v>
      </c>
      <c r="I164" s="2">
        <v>5</v>
      </c>
    </row>
    <row r="165" spans="1:9" x14ac:dyDescent="0.25">
      <c r="A165" s="2" t="s">
        <v>340</v>
      </c>
      <c r="B165" s="2" t="s">
        <v>17</v>
      </c>
      <c r="C165" s="2" t="s">
        <v>341</v>
      </c>
      <c r="D165" s="2" t="s">
        <v>59</v>
      </c>
      <c r="E165" s="2">
        <v>18723</v>
      </c>
      <c r="F165" s="2">
        <v>5</v>
      </c>
      <c r="G165" s="2">
        <v>17786.849999999999</v>
      </c>
      <c r="H165" s="2" t="s">
        <v>51</v>
      </c>
      <c r="I165" s="2">
        <v>1</v>
      </c>
    </row>
    <row r="166" spans="1:9" x14ac:dyDescent="0.25">
      <c r="A166" s="2" t="s">
        <v>342</v>
      </c>
      <c r="B166" s="2" t="s">
        <v>16</v>
      </c>
      <c r="C166" s="2" t="s">
        <v>343</v>
      </c>
      <c r="D166" s="2" t="s">
        <v>44</v>
      </c>
      <c r="E166" s="2">
        <v>49600</v>
      </c>
      <c r="F166" s="2">
        <v>20</v>
      </c>
      <c r="G166" s="2">
        <v>39680</v>
      </c>
      <c r="H166" s="2" t="s">
        <v>48</v>
      </c>
      <c r="I166" s="2">
        <v>1</v>
      </c>
    </row>
    <row r="167" spans="1:9" x14ac:dyDescent="0.25">
      <c r="A167" s="2" t="s">
        <v>344</v>
      </c>
      <c r="B167" s="2" t="s">
        <v>17</v>
      </c>
      <c r="C167" s="2" t="s">
        <v>242</v>
      </c>
      <c r="D167" s="2" t="s">
        <v>62</v>
      </c>
      <c r="E167" s="2">
        <v>21221</v>
      </c>
      <c r="F167" s="2">
        <v>21</v>
      </c>
      <c r="G167" s="2">
        <v>16764.59</v>
      </c>
      <c r="H167" s="2" t="s">
        <v>51</v>
      </c>
      <c r="I167" s="2">
        <v>5</v>
      </c>
    </row>
    <row r="168" spans="1:9" x14ac:dyDescent="0.25">
      <c r="A168" s="2" t="s">
        <v>345</v>
      </c>
      <c r="B168" s="2" t="s">
        <v>17</v>
      </c>
      <c r="C168" s="2" t="s">
        <v>160</v>
      </c>
      <c r="D168" s="2" t="s">
        <v>40</v>
      </c>
      <c r="E168" s="2">
        <v>36878</v>
      </c>
      <c r="F168" s="2">
        <v>5</v>
      </c>
      <c r="G168" s="2">
        <v>35034.1</v>
      </c>
      <c r="H168" s="2" t="s">
        <v>45</v>
      </c>
      <c r="I168" s="2">
        <v>3</v>
      </c>
    </row>
    <row r="169" spans="1:9" x14ac:dyDescent="0.25">
      <c r="A169" s="2" t="s">
        <v>346</v>
      </c>
      <c r="B169" s="2" t="s">
        <v>17</v>
      </c>
      <c r="C169" s="2" t="s">
        <v>347</v>
      </c>
      <c r="D169" s="2" t="s">
        <v>44</v>
      </c>
      <c r="E169" s="2">
        <v>26232</v>
      </c>
      <c r="F169" s="2">
        <v>19</v>
      </c>
      <c r="G169" s="2">
        <v>21247.919999999998</v>
      </c>
      <c r="H169" s="2" t="s">
        <v>41</v>
      </c>
      <c r="I169" s="2">
        <v>4</v>
      </c>
    </row>
    <row r="170" spans="1:9" x14ac:dyDescent="0.25">
      <c r="A170" s="2" t="s">
        <v>348</v>
      </c>
      <c r="B170" s="2" t="s">
        <v>16</v>
      </c>
      <c r="C170" s="2" t="s">
        <v>349</v>
      </c>
      <c r="D170" s="2" t="s">
        <v>44</v>
      </c>
      <c r="E170" s="2">
        <v>48912</v>
      </c>
      <c r="F170" s="2">
        <v>50</v>
      </c>
      <c r="G170" s="2">
        <v>24456</v>
      </c>
      <c r="H170" s="2" t="s">
        <v>45</v>
      </c>
      <c r="I170" s="2">
        <v>1</v>
      </c>
    </row>
    <row r="171" spans="1:9" x14ac:dyDescent="0.25">
      <c r="A171" s="2" t="s">
        <v>350</v>
      </c>
      <c r="B171" s="2" t="s">
        <v>16</v>
      </c>
      <c r="C171" s="2" t="s">
        <v>351</v>
      </c>
      <c r="D171" s="2" t="s">
        <v>40</v>
      </c>
      <c r="E171" s="2">
        <v>32101</v>
      </c>
      <c r="F171" s="2">
        <v>27</v>
      </c>
      <c r="G171" s="2">
        <v>23433.73</v>
      </c>
      <c r="H171" s="2" t="s">
        <v>45</v>
      </c>
      <c r="I171" s="2">
        <v>1</v>
      </c>
    </row>
    <row r="172" spans="1:9" x14ac:dyDescent="0.25">
      <c r="A172" s="2" t="s">
        <v>352</v>
      </c>
      <c r="B172" s="2" t="s">
        <v>16</v>
      </c>
      <c r="C172" s="2" t="s">
        <v>353</v>
      </c>
      <c r="D172" s="2" t="s">
        <v>62</v>
      </c>
      <c r="E172" s="2">
        <v>33912</v>
      </c>
      <c r="F172" s="2">
        <v>22</v>
      </c>
      <c r="G172" s="2">
        <v>26451.360000000001</v>
      </c>
      <c r="H172" s="2" t="s">
        <v>51</v>
      </c>
      <c r="I172" s="2">
        <v>3</v>
      </c>
    </row>
    <row r="173" spans="1:9" x14ac:dyDescent="0.25">
      <c r="A173" s="2" t="s">
        <v>354</v>
      </c>
      <c r="B173" s="2" t="s">
        <v>16</v>
      </c>
      <c r="C173" s="2" t="s">
        <v>355</v>
      </c>
      <c r="D173" s="2" t="s">
        <v>44</v>
      </c>
      <c r="E173" s="2">
        <v>3303</v>
      </c>
      <c r="F173" s="2">
        <v>46</v>
      </c>
      <c r="G173" s="2">
        <v>1783.62</v>
      </c>
      <c r="H173" s="2" t="s">
        <v>51</v>
      </c>
      <c r="I173" s="2">
        <v>4</v>
      </c>
    </row>
    <row r="174" spans="1:9" x14ac:dyDescent="0.25">
      <c r="A174" s="2" t="s">
        <v>356</v>
      </c>
      <c r="B174" s="2" t="s">
        <v>17</v>
      </c>
      <c r="C174" s="2" t="s">
        <v>234</v>
      </c>
      <c r="D174" s="2" t="s">
        <v>59</v>
      </c>
      <c r="E174" s="2">
        <v>20251</v>
      </c>
      <c r="F174" s="2">
        <v>26</v>
      </c>
      <c r="G174" s="2">
        <v>14985.74</v>
      </c>
      <c r="H174" s="2" t="s">
        <v>41</v>
      </c>
      <c r="I174" s="2">
        <v>5</v>
      </c>
    </row>
    <row r="175" spans="1:9" x14ac:dyDescent="0.25">
      <c r="A175" s="2" t="s">
        <v>357</v>
      </c>
      <c r="B175" s="2" t="s">
        <v>16</v>
      </c>
      <c r="C175" s="2" t="s">
        <v>358</v>
      </c>
      <c r="D175" s="2" t="s">
        <v>59</v>
      </c>
      <c r="E175" s="2">
        <v>11511</v>
      </c>
      <c r="F175" s="2">
        <v>27</v>
      </c>
      <c r="G175" s="2">
        <v>8403.0300000000007</v>
      </c>
      <c r="H175" s="2" t="s">
        <v>45</v>
      </c>
      <c r="I175" s="2">
        <v>3</v>
      </c>
    </row>
    <row r="176" spans="1:9" x14ac:dyDescent="0.25">
      <c r="A176" s="2" t="s">
        <v>359</v>
      </c>
      <c r="B176" s="2" t="s">
        <v>17</v>
      </c>
      <c r="C176" s="2" t="s">
        <v>360</v>
      </c>
      <c r="D176" s="2" t="s">
        <v>40</v>
      </c>
      <c r="E176" s="2">
        <v>27014</v>
      </c>
      <c r="F176" s="2">
        <v>30</v>
      </c>
      <c r="G176" s="2">
        <v>18909.8</v>
      </c>
      <c r="H176" s="2" t="s">
        <v>51</v>
      </c>
      <c r="I176" s="2">
        <v>5</v>
      </c>
    </row>
    <row r="177" spans="1:9" x14ac:dyDescent="0.25">
      <c r="A177" s="2" t="s">
        <v>361</v>
      </c>
      <c r="B177" s="2" t="s">
        <v>17</v>
      </c>
      <c r="C177" s="2" t="s">
        <v>362</v>
      </c>
      <c r="D177" s="2" t="s">
        <v>40</v>
      </c>
      <c r="E177" s="2">
        <v>46304</v>
      </c>
      <c r="F177" s="2">
        <v>7</v>
      </c>
      <c r="G177" s="2">
        <v>43062.720000000001</v>
      </c>
      <c r="H177" s="2" t="s">
        <v>48</v>
      </c>
      <c r="I177" s="2">
        <v>4</v>
      </c>
    </row>
    <row r="178" spans="1:9" x14ac:dyDescent="0.25">
      <c r="A178" s="2" t="s">
        <v>363</v>
      </c>
      <c r="B178" s="2" t="s">
        <v>17</v>
      </c>
      <c r="C178" s="2" t="s">
        <v>364</v>
      </c>
      <c r="D178" s="2" t="s">
        <v>40</v>
      </c>
      <c r="E178" s="2">
        <v>25324</v>
      </c>
      <c r="F178" s="2">
        <v>30</v>
      </c>
      <c r="G178" s="2">
        <v>17726.8</v>
      </c>
      <c r="H178" s="2" t="s">
        <v>41</v>
      </c>
      <c r="I178" s="2">
        <v>2</v>
      </c>
    </row>
    <row r="179" spans="1:9" x14ac:dyDescent="0.25">
      <c r="A179" s="2" t="s">
        <v>365</v>
      </c>
      <c r="B179" s="2" t="s">
        <v>17</v>
      </c>
      <c r="C179" s="2" t="s">
        <v>191</v>
      </c>
      <c r="D179" s="2" t="s">
        <v>44</v>
      </c>
      <c r="E179" s="2">
        <v>15202</v>
      </c>
      <c r="F179" s="2">
        <v>10</v>
      </c>
      <c r="G179" s="2">
        <v>13681.8</v>
      </c>
      <c r="H179" s="2" t="s">
        <v>41</v>
      </c>
      <c r="I179" s="2">
        <v>4</v>
      </c>
    </row>
    <row r="180" spans="1:9" x14ac:dyDescent="0.25">
      <c r="A180" s="2" t="s">
        <v>366</v>
      </c>
      <c r="B180" s="2" t="s">
        <v>16</v>
      </c>
      <c r="C180" s="2" t="s">
        <v>367</v>
      </c>
      <c r="D180" s="2" t="s">
        <v>62</v>
      </c>
      <c r="E180" s="2">
        <v>47634</v>
      </c>
      <c r="F180" s="2">
        <v>33</v>
      </c>
      <c r="G180" s="2">
        <v>31914.78</v>
      </c>
      <c r="H180" s="2" t="s">
        <v>45</v>
      </c>
      <c r="I180" s="2">
        <v>2</v>
      </c>
    </row>
    <row r="181" spans="1:9" x14ac:dyDescent="0.25">
      <c r="A181" s="2" t="s">
        <v>368</v>
      </c>
      <c r="B181" s="2" t="s">
        <v>16</v>
      </c>
      <c r="C181" s="2" t="s">
        <v>369</v>
      </c>
      <c r="D181" s="2" t="s">
        <v>59</v>
      </c>
      <c r="E181" s="2">
        <v>32277</v>
      </c>
      <c r="F181" s="2">
        <v>28</v>
      </c>
      <c r="G181" s="2">
        <v>23239.439999999999</v>
      </c>
      <c r="H181" s="2" t="s">
        <v>41</v>
      </c>
      <c r="I181" s="2">
        <v>4</v>
      </c>
    </row>
    <row r="182" spans="1:9" x14ac:dyDescent="0.25">
      <c r="A182" s="2" t="s">
        <v>370</v>
      </c>
      <c r="B182" s="2" t="s">
        <v>17</v>
      </c>
      <c r="C182" s="2" t="s">
        <v>88</v>
      </c>
      <c r="D182" s="2" t="s">
        <v>62</v>
      </c>
      <c r="E182" s="2">
        <v>32277</v>
      </c>
      <c r="F182" s="2">
        <v>18</v>
      </c>
      <c r="G182" s="2">
        <v>26467.14</v>
      </c>
      <c r="H182" s="2" t="s">
        <v>48</v>
      </c>
      <c r="I182" s="2">
        <v>1</v>
      </c>
    </row>
    <row r="183" spans="1:9" x14ac:dyDescent="0.25">
      <c r="A183" s="2" t="s">
        <v>371</v>
      </c>
      <c r="B183" s="2" t="s">
        <v>17</v>
      </c>
      <c r="C183" s="2" t="s">
        <v>53</v>
      </c>
      <c r="D183" s="2" t="s">
        <v>40</v>
      </c>
      <c r="E183" s="2">
        <v>43916</v>
      </c>
      <c r="F183" s="2">
        <v>17</v>
      </c>
      <c r="G183" s="2">
        <v>36450.28</v>
      </c>
      <c r="H183" s="2" t="s">
        <v>51</v>
      </c>
      <c r="I183" s="2">
        <v>2</v>
      </c>
    </row>
    <row r="184" spans="1:9" x14ac:dyDescent="0.25">
      <c r="A184" s="2" t="s">
        <v>372</v>
      </c>
      <c r="B184" s="2" t="s">
        <v>17</v>
      </c>
      <c r="C184" s="2" t="s">
        <v>373</v>
      </c>
      <c r="D184" s="2" t="s">
        <v>40</v>
      </c>
      <c r="E184" s="2">
        <v>14908</v>
      </c>
      <c r="F184" s="2">
        <v>22</v>
      </c>
      <c r="G184" s="2">
        <v>11628.24</v>
      </c>
      <c r="H184" s="2" t="s">
        <v>41</v>
      </c>
      <c r="I184" s="2">
        <v>4</v>
      </c>
    </row>
    <row r="185" spans="1:9" x14ac:dyDescent="0.25">
      <c r="A185" s="2" t="s">
        <v>374</v>
      </c>
      <c r="B185" s="2" t="s">
        <v>17</v>
      </c>
      <c r="C185" s="2" t="s">
        <v>375</v>
      </c>
      <c r="D185" s="2" t="s">
        <v>59</v>
      </c>
      <c r="E185" s="2">
        <v>37875</v>
      </c>
      <c r="F185" s="2">
        <v>13</v>
      </c>
      <c r="G185" s="2">
        <v>32951.25</v>
      </c>
      <c r="H185" s="2" t="s">
        <v>48</v>
      </c>
      <c r="I185" s="2">
        <v>1</v>
      </c>
    </row>
    <row r="186" spans="1:9" x14ac:dyDescent="0.25">
      <c r="A186" s="2" t="s">
        <v>376</v>
      </c>
      <c r="B186" s="2" t="s">
        <v>17</v>
      </c>
      <c r="C186" s="2" t="s">
        <v>377</v>
      </c>
      <c r="D186" s="2" t="s">
        <v>62</v>
      </c>
      <c r="E186" s="2">
        <v>46683</v>
      </c>
      <c r="F186" s="2">
        <v>24</v>
      </c>
      <c r="G186" s="2">
        <v>35479.08</v>
      </c>
      <c r="H186" s="2" t="s">
        <v>41</v>
      </c>
      <c r="I186" s="2">
        <v>2</v>
      </c>
    </row>
    <row r="187" spans="1:9" x14ac:dyDescent="0.25">
      <c r="A187" s="2" t="s">
        <v>378</v>
      </c>
      <c r="B187" s="2" t="s">
        <v>17</v>
      </c>
      <c r="C187" s="2" t="s">
        <v>379</v>
      </c>
      <c r="D187" s="2" t="s">
        <v>44</v>
      </c>
      <c r="E187" s="2">
        <v>46883</v>
      </c>
      <c r="F187" s="2">
        <v>17</v>
      </c>
      <c r="G187" s="2">
        <v>38912.89</v>
      </c>
      <c r="H187" s="2" t="s">
        <v>45</v>
      </c>
      <c r="I187" s="2">
        <v>4</v>
      </c>
    </row>
    <row r="188" spans="1:9" x14ac:dyDescent="0.25">
      <c r="A188" s="2" t="s">
        <v>380</v>
      </c>
      <c r="B188" s="2" t="s">
        <v>17</v>
      </c>
      <c r="C188" s="2" t="s">
        <v>381</v>
      </c>
      <c r="D188" s="2" t="s">
        <v>40</v>
      </c>
      <c r="E188" s="2">
        <v>20499</v>
      </c>
      <c r="F188" s="2">
        <v>9</v>
      </c>
      <c r="G188" s="2">
        <v>18654.09</v>
      </c>
      <c r="H188" s="2" t="s">
        <v>48</v>
      </c>
      <c r="I188" s="2">
        <v>5</v>
      </c>
    </row>
    <row r="189" spans="1:9" x14ac:dyDescent="0.25">
      <c r="A189" s="2" t="s">
        <v>382</v>
      </c>
      <c r="B189" s="2" t="s">
        <v>17</v>
      </c>
      <c r="C189" s="2" t="s">
        <v>47</v>
      </c>
      <c r="D189" s="2" t="s">
        <v>40</v>
      </c>
      <c r="E189" s="2">
        <v>22775</v>
      </c>
      <c r="F189" s="2">
        <v>5</v>
      </c>
      <c r="G189" s="2">
        <v>21636.25</v>
      </c>
      <c r="H189" s="2" t="s">
        <v>45</v>
      </c>
      <c r="I189" s="2">
        <v>5</v>
      </c>
    </row>
    <row r="190" spans="1:9" x14ac:dyDescent="0.25">
      <c r="A190" s="2" t="s">
        <v>383</v>
      </c>
      <c r="B190" s="2" t="s">
        <v>17</v>
      </c>
      <c r="C190" s="2" t="s">
        <v>384</v>
      </c>
      <c r="D190" s="2" t="s">
        <v>54</v>
      </c>
      <c r="E190" s="2">
        <v>350</v>
      </c>
      <c r="F190" s="2">
        <v>13</v>
      </c>
      <c r="G190" s="2">
        <v>304.5</v>
      </c>
      <c r="H190" s="2" t="s">
        <v>51</v>
      </c>
      <c r="I190" s="2">
        <v>1</v>
      </c>
    </row>
    <row r="191" spans="1:9" x14ac:dyDescent="0.25">
      <c r="A191" s="2" t="s">
        <v>385</v>
      </c>
      <c r="B191" s="2" t="s">
        <v>17</v>
      </c>
      <c r="C191" s="2" t="s">
        <v>84</v>
      </c>
      <c r="D191" s="2" t="s">
        <v>54</v>
      </c>
      <c r="E191" s="2">
        <v>11612</v>
      </c>
      <c r="F191" s="2">
        <v>7</v>
      </c>
      <c r="G191" s="2">
        <v>10799.16</v>
      </c>
      <c r="H191" s="2" t="s">
        <v>45</v>
      </c>
      <c r="I191" s="2">
        <v>4</v>
      </c>
    </row>
    <row r="192" spans="1:9" x14ac:dyDescent="0.25">
      <c r="A192" s="2" t="s">
        <v>386</v>
      </c>
      <c r="B192" s="2" t="s">
        <v>16</v>
      </c>
      <c r="C192" s="2" t="s">
        <v>100</v>
      </c>
      <c r="D192" s="2" t="s">
        <v>44</v>
      </c>
      <c r="E192" s="2">
        <v>48213</v>
      </c>
      <c r="F192" s="2">
        <v>21</v>
      </c>
      <c r="G192" s="2">
        <v>38088.269999999997</v>
      </c>
      <c r="H192" s="2" t="s">
        <v>48</v>
      </c>
      <c r="I192" s="2">
        <v>1</v>
      </c>
    </row>
    <row r="193" spans="1:9" x14ac:dyDescent="0.25">
      <c r="A193" s="2" t="s">
        <v>387</v>
      </c>
      <c r="B193" s="2" t="s">
        <v>17</v>
      </c>
      <c r="C193" s="2" t="s">
        <v>168</v>
      </c>
      <c r="D193" s="2" t="s">
        <v>40</v>
      </c>
      <c r="E193" s="2">
        <v>42802</v>
      </c>
      <c r="F193" s="2">
        <v>13</v>
      </c>
      <c r="G193" s="2">
        <v>37237.74</v>
      </c>
      <c r="H193" s="2" t="s">
        <v>45</v>
      </c>
      <c r="I193" s="2">
        <v>4</v>
      </c>
    </row>
    <row r="194" spans="1:9" x14ac:dyDescent="0.25">
      <c r="A194" s="2" t="s">
        <v>388</v>
      </c>
      <c r="B194" s="2" t="s">
        <v>17</v>
      </c>
      <c r="C194" s="2" t="s">
        <v>152</v>
      </c>
      <c r="D194" s="2" t="s">
        <v>59</v>
      </c>
      <c r="E194" s="2">
        <v>38065</v>
      </c>
      <c r="F194" s="2">
        <v>26</v>
      </c>
      <c r="G194" s="2">
        <v>28168.1</v>
      </c>
      <c r="H194" s="2" t="s">
        <v>45</v>
      </c>
      <c r="I194" s="2">
        <v>2</v>
      </c>
    </row>
    <row r="195" spans="1:9" x14ac:dyDescent="0.25">
      <c r="A195" s="2" t="s">
        <v>389</v>
      </c>
      <c r="B195" s="2" t="s">
        <v>16</v>
      </c>
      <c r="C195" s="2" t="s">
        <v>390</v>
      </c>
      <c r="D195" s="2" t="s">
        <v>54</v>
      </c>
      <c r="E195" s="2">
        <v>18936</v>
      </c>
      <c r="F195" s="2">
        <v>39</v>
      </c>
      <c r="G195" s="2">
        <v>11550.96</v>
      </c>
      <c r="H195" s="2" t="s">
        <v>45</v>
      </c>
      <c r="I195" s="2">
        <v>1</v>
      </c>
    </row>
    <row r="196" spans="1:9" x14ac:dyDescent="0.25">
      <c r="A196" s="2" t="s">
        <v>391</v>
      </c>
      <c r="B196" s="2" t="s">
        <v>16</v>
      </c>
      <c r="C196" s="2" t="s">
        <v>392</v>
      </c>
      <c r="D196" s="2" t="s">
        <v>59</v>
      </c>
      <c r="E196" s="2">
        <v>25531</v>
      </c>
      <c r="F196" s="2">
        <v>27</v>
      </c>
      <c r="G196" s="2">
        <v>18637.63</v>
      </c>
      <c r="H196" s="2" t="s">
        <v>45</v>
      </c>
      <c r="I196" s="2">
        <v>4</v>
      </c>
    </row>
    <row r="197" spans="1:9" x14ac:dyDescent="0.25">
      <c r="A197" s="2" t="s">
        <v>393</v>
      </c>
      <c r="B197" s="2" t="s">
        <v>17</v>
      </c>
      <c r="C197" s="2" t="s">
        <v>125</v>
      </c>
      <c r="D197" s="2" t="s">
        <v>40</v>
      </c>
      <c r="E197" s="2">
        <v>27603</v>
      </c>
      <c r="F197" s="2">
        <v>6</v>
      </c>
      <c r="G197" s="2">
        <v>25946.82</v>
      </c>
      <c r="H197" s="2" t="s">
        <v>48</v>
      </c>
      <c r="I197" s="2">
        <v>4</v>
      </c>
    </row>
    <row r="198" spans="1:9" x14ac:dyDescent="0.25">
      <c r="A198" s="2" t="s">
        <v>394</v>
      </c>
      <c r="B198" s="2" t="s">
        <v>16</v>
      </c>
      <c r="C198" s="2" t="s">
        <v>395</v>
      </c>
      <c r="D198" s="2" t="s">
        <v>44</v>
      </c>
      <c r="E198" s="2">
        <v>26284</v>
      </c>
      <c r="F198" s="2">
        <v>29</v>
      </c>
      <c r="G198" s="2">
        <v>18661.64</v>
      </c>
      <c r="H198" s="2" t="s">
        <v>51</v>
      </c>
      <c r="I198" s="2">
        <v>3</v>
      </c>
    </row>
    <row r="199" spans="1:9" x14ac:dyDescent="0.25">
      <c r="A199" s="2" t="s">
        <v>396</v>
      </c>
      <c r="B199" s="2" t="s">
        <v>17</v>
      </c>
      <c r="C199" s="2" t="s">
        <v>274</v>
      </c>
      <c r="D199" s="2" t="s">
        <v>44</v>
      </c>
      <c r="E199" s="2">
        <v>38850</v>
      </c>
      <c r="F199" s="2">
        <v>19</v>
      </c>
      <c r="G199" s="2">
        <v>31468.5</v>
      </c>
      <c r="H199" s="2" t="s">
        <v>45</v>
      </c>
      <c r="I199" s="2">
        <v>5</v>
      </c>
    </row>
    <row r="200" spans="1:9" x14ac:dyDescent="0.25">
      <c r="A200" s="2" t="s">
        <v>397</v>
      </c>
      <c r="B200" s="2" t="s">
        <v>17</v>
      </c>
      <c r="C200" s="2" t="s">
        <v>398</v>
      </c>
      <c r="D200" s="2" t="s">
        <v>44</v>
      </c>
      <c r="E200" s="2">
        <v>43617</v>
      </c>
      <c r="F200" s="2">
        <v>23</v>
      </c>
      <c r="G200" s="2">
        <v>33585.089999999997</v>
      </c>
      <c r="H200" s="2" t="s">
        <v>45</v>
      </c>
      <c r="I200" s="2">
        <v>1</v>
      </c>
    </row>
    <row r="201" spans="1:9" x14ac:dyDescent="0.25">
      <c r="A201" s="2" t="s">
        <v>399</v>
      </c>
      <c r="B201" s="2" t="s">
        <v>16</v>
      </c>
      <c r="C201" s="2" t="s">
        <v>400</v>
      </c>
      <c r="D201" s="2" t="s">
        <v>59</v>
      </c>
      <c r="E201" s="2">
        <v>25563</v>
      </c>
      <c r="F201" s="2">
        <v>21</v>
      </c>
      <c r="G201" s="2">
        <v>20194.77</v>
      </c>
      <c r="H201" s="2" t="s">
        <v>51</v>
      </c>
      <c r="I201" s="2">
        <v>3</v>
      </c>
    </row>
    <row r="202" spans="1:9" x14ac:dyDescent="0.25">
      <c r="A202" s="2" t="s">
        <v>401</v>
      </c>
      <c r="B202" s="2" t="s">
        <v>16</v>
      </c>
      <c r="C202" s="2" t="s">
        <v>402</v>
      </c>
      <c r="D202" s="2" t="s">
        <v>59</v>
      </c>
      <c r="E202" s="2">
        <v>27127</v>
      </c>
      <c r="F202" s="2">
        <v>45</v>
      </c>
      <c r="G202" s="2">
        <v>14919.85</v>
      </c>
      <c r="H202" s="2" t="s">
        <v>45</v>
      </c>
      <c r="I202" s="2">
        <v>3</v>
      </c>
    </row>
    <row r="203" spans="1:9" x14ac:dyDescent="0.25">
      <c r="A203" s="2" t="s">
        <v>403</v>
      </c>
      <c r="B203" s="2" t="s">
        <v>16</v>
      </c>
      <c r="C203" s="2" t="s">
        <v>158</v>
      </c>
      <c r="D203" s="2" t="s">
        <v>62</v>
      </c>
      <c r="E203" s="2">
        <v>18851</v>
      </c>
      <c r="F203" s="2">
        <v>37</v>
      </c>
      <c r="G203" s="2">
        <v>11876.13</v>
      </c>
      <c r="H203" s="2" t="s">
        <v>45</v>
      </c>
      <c r="I203" s="2">
        <v>4</v>
      </c>
    </row>
    <row r="204" spans="1:9" x14ac:dyDescent="0.25">
      <c r="A204" s="2" t="s">
        <v>404</v>
      </c>
      <c r="B204" s="2" t="s">
        <v>16</v>
      </c>
      <c r="C204" s="2" t="s">
        <v>230</v>
      </c>
      <c r="D204" s="2" t="s">
        <v>44</v>
      </c>
      <c r="E204" s="2">
        <v>35749</v>
      </c>
      <c r="F204" s="2">
        <v>37</v>
      </c>
      <c r="G204" s="2">
        <v>22521.87</v>
      </c>
      <c r="H204" s="2" t="s">
        <v>51</v>
      </c>
      <c r="I204" s="2">
        <v>5</v>
      </c>
    </row>
    <row r="205" spans="1:9" x14ac:dyDescent="0.25">
      <c r="A205" s="2" t="s">
        <v>405</v>
      </c>
      <c r="B205" s="2" t="s">
        <v>17</v>
      </c>
      <c r="C205" s="2" t="s">
        <v>210</v>
      </c>
      <c r="D205" s="2" t="s">
        <v>54</v>
      </c>
      <c r="E205" s="2">
        <v>1405</v>
      </c>
      <c r="F205" s="2">
        <v>13</v>
      </c>
      <c r="G205" s="2">
        <v>1222.3499999999999</v>
      </c>
      <c r="H205" s="2" t="s">
        <v>41</v>
      </c>
      <c r="I205" s="2">
        <v>3</v>
      </c>
    </row>
    <row r="206" spans="1:9" x14ac:dyDescent="0.25">
      <c r="A206" s="2" t="s">
        <v>406</v>
      </c>
      <c r="B206" s="2" t="s">
        <v>16</v>
      </c>
      <c r="C206" s="2" t="s">
        <v>407</v>
      </c>
      <c r="D206" s="2" t="s">
        <v>62</v>
      </c>
      <c r="E206" s="2">
        <v>23237</v>
      </c>
      <c r="F206" s="2">
        <v>34</v>
      </c>
      <c r="G206" s="2">
        <v>15336.42</v>
      </c>
      <c r="H206" s="2" t="s">
        <v>51</v>
      </c>
      <c r="I206" s="2">
        <v>3</v>
      </c>
    </row>
    <row r="207" spans="1:9" x14ac:dyDescent="0.25">
      <c r="A207" s="2" t="s">
        <v>408</v>
      </c>
      <c r="B207" s="2" t="s">
        <v>17</v>
      </c>
      <c r="C207" s="2" t="s">
        <v>409</v>
      </c>
      <c r="D207" s="2" t="s">
        <v>59</v>
      </c>
      <c r="E207" s="2">
        <v>31515</v>
      </c>
      <c r="F207" s="2">
        <v>11</v>
      </c>
      <c r="G207" s="2">
        <v>28048.35</v>
      </c>
      <c r="H207" s="2" t="s">
        <v>41</v>
      </c>
      <c r="I207" s="2">
        <v>5</v>
      </c>
    </row>
    <row r="208" spans="1:9" x14ac:dyDescent="0.25">
      <c r="A208" s="2" t="s">
        <v>410</v>
      </c>
      <c r="B208" s="2" t="s">
        <v>17</v>
      </c>
      <c r="C208" s="2" t="s">
        <v>411</v>
      </c>
      <c r="D208" s="2" t="s">
        <v>54</v>
      </c>
      <c r="E208" s="2">
        <v>1933</v>
      </c>
      <c r="F208" s="2">
        <v>21</v>
      </c>
      <c r="G208" s="2">
        <v>1527.07</v>
      </c>
      <c r="H208" s="2" t="s">
        <v>51</v>
      </c>
      <c r="I208" s="2">
        <v>1</v>
      </c>
    </row>
    <row r="209" spans="1:9" x14ac:dyDescent="0.25">
      <c r="A209" s="2" t="s">
        <v>412</v>
      </c>
      <c r="B209" s="2" t="s">
        <v>16</v>
      </c>
      <c r="C209" s="2" t="s">
        <v>413</v>
      </c>
      <c r="D209" s="2" t="s">
        <v>59</v>
      </c>
      <c r="E209" s="2">
        <v>9041</v>
      </c>
      <c r="F209" s="2">
        <v>16</v>
      </c>
      <c r="G209" s="2">
        <v>7594.44</v>
      </c>
      <c r="H209" s="2" t="s">
        <v>51</v>
      </c>
      <c r="I209" s="2">
        <v>4</v>
      </c>
    </row>
    <row r="210" spans="1:9" x14ac:dyDescent="0.25">
      <c r="A210" s="2" t="s">
        <v>414</v>
      </c>
      <c r="B210" s="2" t="s">
        <v>17</v>
      </c>
      <c r="C210" s="2" t="s">
        <v>319</v>
      </c>
      <c r="D210" s="2" t="s">
        <v>44</v>
      </c>
      <c r="E210" s="2">
        <v>30573</v>
      </c>
      <c r="F210" s="2">
        <v>14</v>
      </c>
      <c r="G210" s="2">
        <v>26292.78</v>
      </c>
      <c r="H210" s="2" t="s">
        <v>45</v>
      </c>
      <c r="I210" s="2">
        <v>2</v>
      </c>
    </row>
    <row r="211" spans="1:9" x14ac:dyDescent="0.25">
      <c r="A211" s="2" t="s">
        <v>415</v>
      </c>
      <c r="B211" s="2" t="s">
        <v>16</v>
      </c>
      <c r="C211" s="2" t="s">
        <v>416</v>
      </c>
      <c r="D211" s="2" t="s">
        <v>59</v>
      </c>
      <c r="E211" s="2">
        <v>5861</v>
      </c>
      <c r="F211" s="2">
        <v>20</v>
      </c>
      <c r="G211" s="2">
        <v>4688.8</v>
      </c>
      <c r="H211" s="2" t="s">
        <v>51</v>
      </c>
      <c r="I211" s="2">
        <v>1</v>
      </c>
    </row>
    <row r="212" spans="1:9" x14ac:dyDescent="0.25">
      <c r="A212" s="2" t="s">
        <v>417</v>
      </c>
      <c r="B212" s="2" t="s">
        <v>17</v>
      </c>
      <c r="C212" s="2" t="s">
        <v>353</v>
      </c>
      <c r="D212" s="2" t="s">
        <v>59</v>
      </c>
      <c r="E212" s="2">
        <v>32710</v>
      </c>
      <c r="F212" s="2">
        <v>19</v>
      </c>
      <c r="G212" s="2">
        <v>26495.1</v>
      </c>
      <c r="H212" s="2" t="s">
        <v>51</v>
      </c>
      <c r="I212" s="2">
        <v>2</v>
      </c>
    </row>
    <row r="213" spans="1:9" x14ac:dyDescent="0.25">
      <c r="A213" s="2" t="s">
        <v>418</v>
      </c>
      <c r="B213" s="2" t="s">
        <v>17</v>
      </c>
      <c r="C213" s="2" t="s">
        <v>419</v>
      </c>
      <c r="D213" s="2" t="s">
        <v>54</v>
      </c>
      <c r="E213" s="2">
        <v>1560</v>
      </c>
      <c r="F213" s="2">
        <v>12</v>
      </c>
      <c r="G213" s="2">
        <v>1372.8</v>
      </c>
      <c r="H213" s="2" t="s">
        <v>51</v>
      </c>
      <c r="I213" s="2">
        <v>1</v>
      </c>
    </row>
    <row r="214" spans="1:9" x14ac:dyDescent="0.25">
      <c r="A214" s="2" t="s">
        <v>420</v>
      </c>
      <c r="B214" s="2" t="s">
        <v>16</v>
      </c>
      <c r="C214" s="2" t="s">
        <v>355</v>
      </c>
      <c r="D214" s="2" t="s">
        <v>40</v>
      </c>
      <c r="E214" s="2">
        <v>41789</v>
      </c>
      <c r="F214" s="2">
        <v>18</v>
      </c>
      <c r="G214" s="2">
        <v>34266.980000000003</v>
      </c>
      <c r="H214" s="2" t="s">
        <v>41</v>
      </c>
      <c r="I214" s="2">
        <v>5</v>
      </c>
    </row>
    <row r="215" spans="1:9" x14ac:dyDescent="0.25">
      <c r="A215" s="2" t="s">
        <v>421</v>
      </c>
      <c r="B215" s="2" t="s">
        <v>17</v>
      </c>
      <c r="C215" s="2" t="s">
        <v>377</v>
      </c>
      <c r="D215" s="2" t="s">
        <v>62</v>
      </c>
      <c r="E215" s="2">
        <v>10757</v>
      </c>
      <c r="F215" s="2">
        <v>24</v>
      </c>
      <c r="G215" s="2">
        <v>8175.32</v>
      </c>
      <c r="H215" s="2" t="s">
        <v>45</v>
      </c>
      <c r="I215" s="2">
        <v>5</v>
      </c>
    </row>
    <row r="216" spans="1:9" x14ac:dyDescent="0.25">
      <c r="A216" s="2" t="s">
        <v>422</v>
      </c>
      <c r="B216" s="2" t="s">
        <v>16</v>
      </c>
      <c r="C216" s="2" t="s">
        <v>423</v>
      </c>
      <c r="D216" s="2" t="s">
        <v>40</v>
      </c>
      <c r="E216" s="2">
        <v>21073</v>
      </c>
      <c r="F216" s="2">
        <v>34</v>
      </c>
      <c r="G216" s="2">
        <v>13908.18</v>
      </c>
      <c r="H216" s="2" t="s">
        <v>48</v>
      </c>
      <c r="I216" s="2">
        <v>5</v>
      </c>
    </row>
    <row r="217" spans="1:9" x14ac:dyDescent="0.25">
      <c r="A217" s="2" t="s">
        <v>424</v>
      </c>
      <c r="B217" s="2" t="s">
        <v>16</v>
      </c>
      <c r="C217" s="2" t="s">
        <v>425</v>
      </c>
      <c r="D217" s="2" t="s">
        <v>59</v>
      </c>
      <c r="E217" s="2">
        <v>2101</v>
      </c>
      <c r="F217" s="2">
        <v>23</v>
      </c>
      <c r="G217" s="2">
        <v>1617.77</v>
      </c>
      <c r="H217" s="2" t="s">
        <v>51</v>
      </c>
      <c r="I217" s="2">
        <v>1</v>
      </c>
    </row>
    <row r="218" spans="1:9" x14ac:dyDescent="0.25">
      <c r="A218" s="2" t="s">
        <v>426</v>
      </c>
      <c r="B218" s="2" t="s">
        <v>16</v>
      </c>
      <c r="C218" s="2" t="s">
        <v>427</v>
      </c>
      <c r="D218" s="2" t="s">
        <v>62</v>
      </c>
      <c r="E218" s="2">
        <v>42055</v>
      </c>
      <c r="F218" s="2">
        <v>38</v>
      </c>
      <c r="G218" s="2">
        <v>26074.1</v>
      </c>
      <c r="H218" s="2" t="s">
        <v>48</v>
      </c>
      <c r="I218" s="2">
        <v>2</v>
      </c>
    </row>
    <row r="219" spans="1:9" x14ac:dyDescent="0.25">
      <c r="A219" s="2" t="s">
        <v>428</v>
      </c>
      <c r="B219" s="2" t="s">
        <v>17</v>
      </c>
      <c r="C219" s="2" t="s">
        <v>68</v>
      </c>
      <c r="D219" s="2" t="s">
        <v>59</v>
      </c>
      <c r="E219" s="2">
        <v>29432</v>
      </c>
      <c r="F219" s="2">
        <v>10</v>
      </c>
      <c r="G219" s="2">
        <v>26488.799999999999</v>
      </c>
      <c r="H219" s="2" t="s">
        <v>41</v>
      </c>
      <c r="I219" s="2">
        <v>5</v>
      </c>
    </row>
    <row r="220" spans="1:9" x14ac:dyDescent="0.25">
      <c r="A220" s="2" t="s">
        <v>429</v>
      </c>
      <c r="B220" s="2" t="s">
        <v>17</v>
      </c>
      <c r="C220" s="2" t="s">
        <v>88</v>
      </c>
      <c r="D220" s="2" t="s">
        <v>62</v>
      </c>
      <c r="E220" s="2">
        <v>28490</v>
      </c>
      <c r="F220" s="2">
        <v>6</v>
      </c>
      <c r="G220" s="2">
        <v>26780.6</v>
      </c>
      <c r="H220" s="2" t="s">
        <v>45</v>
      </c>
      <c r="I220" s="2">
        <v>5</v>
      </c>
    </row>
    <row r="221" spans="1:9" x14ac:dyDescent="0.25">
      <c r="A221" s="2" t="s">
        <v>430</v>
      </c>
      <c r="B221" s="2" t="s">
        <v>16</v>
      </c>
      <c r="C221" s="2" t="s">
        <v>431</v>
      </c>
      <c r="D221" s="2" t="s">
        <v>62</v>
      </c>
      <c r="E221" s="2">
        <v>10447</v>
      </c>
      <c r="F221" s="2">
        <v>17</v>
      </c>
      <c r="G221" s="2">
        <v>8671.01</v>
      </c>
      <c r="H221" s="2" t="s">
        <v>48</v>
      </c>
      <c r="I221" s="2">
        <v>2</v>
      </c>
    </row>
    <row r="222" spans="1:9" x14ac:dyDescent="0.25">
      <c r="A222" s="2" t="s">
        <v>432</v>
      </c>
      <c r="B222" s="2" t="s">
        <v>16</v>
      </c>
      <c r="C222" s="2" t="s">
        <v>78</v>
      </c>
      <c r="D222" s="2" t="s">
        <v>62</v>
      </c>
      <c r="E222" s="2">
        <v>26834</v>
      </c>
      <c r="F222" s="2">
        <v>34</v>
      </c>
      <c r="G222" s="2">
        <v>17710.439999999999</v>
      </c>
      <c r="H222" s="2" t="s">
        <v>45</v>
      </c>
      <c r="I222" s="2">
        <v>1</v>
      </c>
    </row>
    <row r="223" spans="1:9" x14ac:dyDescent="0.25">
      <c r="A223" s="2" t="s">
        <v>433</v>
      </c>
      <c r="B223" s="2" t="s">
        <v>16</v>
      </c>
      <c r="C223" s="2" t="s">
        <v>434</v>
      </c>
      <c r="D223" s="2" t="s">
        <v>40</v>
      </c>
      <c r="E223" s="2">
        <v>25068</v>
      </c>
      <c r="F223" s="2">
        <v>19</v>
      </c>
      <c r="G223" s="2">
        <v>20305.080000000002</v>
      </c>
      <c r="H223" s="2" t="s">
        <v>41</v>
      </c>
      <c r="I223" s="2">
        <v>2</v>
      </c>
    </row>
    <row r="224" spans="1:9" x14ac:dyDescent="0.25">
      <c r="A224" s="2" t="s">
        <v>435</v>
      </c>
      <c r="B224" s="2" t="s">
        <v>16</v>
      </c>
      <c r="C224" s="2" t="s">
        <v>436</v>
      </c>
      <c r="D224" s="2" t="s">
        <v>44</v>
      </c>
      <c r="E224" s="2">
        <v>26219</v>
      </c>
      <c r="F224" s="2">
        <v>26</v>
      </c>
      <c r="G224" s="2">
        <v>19402.060000000001</v>
      </c>
      <c r="H224" s="2" t="s">
        <v>51</v>
      </c>
      <c r="I224" s="2">
        <v>1</v>
      </c>
    </row>
    <row r="225" spans="1:9" x14ac:dyDescent="0.25">
      <c r="A225" s="2" t="s">
        <v>437</v>
      </c>
      <c r="B225" s="2" t="s">
        <v>16</v>
      </c>
      <c r="C225" s="2" t="s">
        <v>255</v>
      </c>
      <c r="D225" s="2" t="s">
        <v>62</v>
      </c>
      <c r="E225" s="2">
        <v>48055</v>
      </c>
      <c r="F225" s="2">
        <v>44</v>
      </c>
      <c r="G225" s="2">
        <v>26910.799999999999</v>
      </c>
      <c r="H225" s="2" t="s">
        <v>51</v>
      </c>
      <c r="I225" s="2">
        <v>1</v>
      </c>
    </row>
    <row r="226" spans="1:9" x14ac:dyDescent="0.25">
      <c r="A226" s="2" t="s">
        <v>438</v>
      </c>
      <c r="B226" s="2" t="s">
        <v>17</v>
      </c>
      <c r="C226" s="2" t="s">
        <v>439</v>
      </c>
      <c r="D226" s="2" t="s">
        <v>59</v>
      </c>
      <c r="E226" s="2">
        <v>22502</v>
      </c>
      <c r="F226" s="2">
        <v>26</v>
      </c>
      <c r="G226" s="2">
        <v>16651.48</v>
      </c>
      <c r="H226" s="2" t="s">
        <v>51</v>
      </c>
      <c r="I226" s="2">
        <v>2</v>
      </c>
    </row>
    <row r="227" spans="1:9" x14ac:dyDescent="0.25">
      <c r="A227" s="2" t="s">
        <v>440</v>
      </c>
      <c r="B227" s="2" t="s">
        <v>16</v>
      </c>
      <c r="C227" s="2" t="s">
        <v>441</v>
      </c>
      <c r="D227" s="2" t="s">
        <v>59</v>
      </c>
      <c r="E227" s="2">
        <v>23467</v>
      </c>
      <c r="F227" s="2">
        <v>38</v>
      </c>
      <c r="G227" s="2">
        <v>14549.54</v>
      </c>
      <c r="H227" s="2" t="s">
        <v>41</v>
      </c>
      <c r="I227" s="2">
        <v>2</v>
      </c>
    </row>
    <row r="228" spans="1:9" x14ac:dyDescent="0.25">
      <c r="A228" s="2" t="s">
        <v>442</v>
      </c>
      <c r="B228" s="2" t="s">
        <v>16</v>
      </c>
      <c r="C228" s="2" t="s">
        <v>250</v>
      </c>
      <c r="D228" s="2" t="s">
        <v>54</v>
      </c>
      <c r="E228" s="2">
        <v>13595</v>
      </c>
      <c r="F228" s="2">
        <v>21</v>
      </c>
      <c r="G228" s="2">
        <v>10740.05</v>
      </c>
      <c r="H228" s="2" t="s">
        <v>51</v>
      </c>
      <c r="I228" s="2">
        <v>5</v>
      </c>
    </row>
    <row r="229" spans="1:9" x14ac:dyDescent="0.25">
      <c r="A229" s="2" t="s">
        <v>443</v>
      </c>
      <c r="B229" s="2" t="s">
        <v>17</v>
      </c>
      <c r="C229" s="2" t="s">
        <v>444</v>
      </c>
      <c r="D229" s="2" t="s">
        <v>40</v>
      </c>
      <c r="E229" s="2">
        <v>40270</v>
      </c>
      <c r="F229" s="2">
        <v>27</v>
      </c>
      <c r="G229" s="2">
        <v>29397.1</v>
      </c>
      <c r="H229" s="2" t="s">
        <v>51</v>
      </c>
      <c r="I229" s="2">
        <v>2</v>
      </c>
    </row>
    <row r="230" spans="1:9" x14ac:dyDescent="0.25">
      <c r="A230" s="2" t="s">
        <v>445</v>
      </c>
      <c r="B230" s="2" t="s">
        <v>17</v>
      </c>
      <c r="C230" s="2" t="s">
        <v>446</v>
      </c>
      <c r="D230" s="2" t="s">
        <v>54</v>
      </c>
      <c r="E230" s="2">
        <v>15983</v>
      </c>
      <c r="F230" s="2">
        <v>7</v>
      </c>
      <c r="G230" s="2">
        <v>14864.19</v>
      </c>
      <c r="H230" s="2" t="s">
        <v>48</v>
      </c>
      <c r="I230" s="2">
        <v>1</v>
      </c>
    </row>
    <row r="231" spans="1:9" x14ac:dyDescent="0.25">
      <c r="A231" s="2" t="s">
        <v>447</v>
      </c>
      <c r="B231" s="2" t="s">
        <v>17</v>
      </c>
      <c r="C231" s="2" t="s">
        <v>448</v>
      </c>
      <c r="D231" s="2" t="s">
        <v>40</v>
      </c>
      <c r="E231" s="2">
        <v>13878</v>
      </c>
      <c r="F231" s="2">
        <v>12</v>
      </c>
      <c r="G231" s="2">
        <v>12212.64</v>
      </c>
      <c r="H231" s="2" t="s">
        <v>51</v>
      </c>
      <c r="I231" s="2">
        <v>2</v>
      </c>
    </row>
    <row r="232" spans="1:9" x14ac:dyDescent="0.25">
      <c r="A232" s="2" t="s">
        <v>449</v>
      </c>
      <c r="B232" s="2" t="s">
        <v>17</v>
      </c>
      <c r="C232" s="2" t="s">
        <v>450</v>
      </c>
      <c r="D232" s="2" t="s">
        <v>54</v>
      </c>
      <c r="E232" s="2">
        <v>3741</v>
      </c>
      <c r="F232" s="2">
        <v>10</v>
      </c>
      <c r="G232" s="2">
        <v>3366.9</v>
      </c>
      <c r="H232" s="2" t="s">
        <v>48</v>
      </c>
      <c r="I232" s="2">
        <v>5</v>
      </c>
    </row>
    <row r="233" spans="1:9" x14ac:dyDescent="0.25">
      <c r="A233" s="2" t="s">
        <v>451</v>
      </c>
      <c r="B233" s="2" t="s">
        <v>16</v>
      </c>
      <c r="C233" s="2" t="s">
        <v>441</v>
      </c>
      <c r="D233" s="2" t="s">
        <v>54</v>
      </c>
      <c r="E233" s="2">
        <v>21710</v>
      </c>
      <c r="F233" s="2">
        <v>21</v>
      </c>
      <c r="G233" s="2">
        <v>17150.900000000001</v>
      </c>
      <c r="H233" s="2" t="s">
        <v>45</v>
      </c>
      <c r="I233" s="2">
        <v>3</v>
      </c>
    </row>
    <row r="234" spans="1:9" x14ac:dyDescent="0.25">
      <c r="A234" s="2" t="s">
        <v>452</v>
      </c>
      <c r="B234" s="2" t="s">
        <v>17</v>
      </c>
      <c r="C234" s="2" t="s">
        <v>453</v>
      </c>
      <c r="D234" s="2" t="s">
        <v>62</v>
      </c>
      <c r="E234" s="2">
        <v>32455</v>
      </c>
      <c r="F234" s="2">
        <v>11</v>
      </c>
      <c r="G234" s="2">
        <v>28884.95</v>
      </c>
      <c r="H234" s="2" t="s">
        <v>48</v>
      </c>
      <c r="I234" s="2">
        <v>2</v>
      </c>
    </row>
    <row r="235" spans="1:9" x14ac:dyDescent="0.25">
      <c r="A235" s="2" t="s">
        <v>454</v>
      </c>
      <c r="B235" s="2" t="s">
        <v>16</v>
      </c>
      <c r="C235" s="2" t="s">
        <v>455</v>
      </c>
      <c r="D235" s="2" t="s">
        <v>54</v>
      </c>
      <c r="E235" s="2">
        <v>22877</v>
      </c>
      <c r="F235" s="2">
        <v>37</v>
      </c>
      <c r="G235" s="2">
        <v>14412.51</v>
      </c>
      <c r="H235" s="2" t="s">
        <v>48</v>
      </c>
      <c r="I235" s="2">
        <v>5</v>
      </c>
    </row>
    <row r="236" spans="1:9" x14ac:dyDescent="0.25">
      <c r="A236" s="2" t="s">
        <v>456</v>
      </c>
      <c r="B236" s="2" t="s">
        <v>16</v>
      </c>
      <c r="C236" s="2" t="s">
        <v>110</v>
      </c>
      <c r="D236" s="2" t="s">
        <v>62</v>
      </c>
      <c r="E236" s="2">
        <v>35666</v>
      </c>
      <c r="F236" s="2">
        <v>45</v>
      </c>
      <c r="G236" s="2">
        <v>19616.3</v>
      </c>
      <c r="H236" s="2" t="s">
        <v>41</v>
      </c>
      <c r="I236" s="2">
        <v>5</v>
      </c>
    </row>
    <row r="237" spans="1:9" x14ac:dyDescent="0.25">
      <c r="A237" s="2" t="s">
        <v>457</v>
      </c>
      <c r="B237" s="2" t="s">
        <v>17</v>
      </c>
      <c r="C237" s="2" t="s">
        <v>261</v>
      </c>
      <c r="D237" s="2" t="s">
        <v>40</v>
      </c>
      <c r="E237" s="2">
        <v>31681</v>
      </c>
      <c r="F237" s="2">
        <v>5</v>
      </c>
      <c r="G237" s="2">
        <v>30096.95</v>
      </c>
      <c r="H237" s="2" t="s">
        <v>45</v>
      </c>
      <c r="I237" s="2">
        <v>3</v>
      </c>
    </row>
    <row r="238" spans="1:9" x14ac:dyDescent="0.25">
      <c r="A238" s="2" t="s">
        <v>458</v>
      </c>
      <c r="B238" s="2" t="s">
        <v>16</v>
      </c>
      <c r="C238" s="2" t="s">
        <v>50</v>
      </c>
      <c r="D238" s="2" t="s">
        <v>59</v>
      </c>
      <c r="E238" s="2">
        <v>14476</v>
      </c>
      <c r="F238" s="2">
        <v>36</v>
      </c>
      <c r="G238" s="2">
        <v>9264.64</v>
      </c>
      <c r="H238" s="2" t="s">
        <v>48</v>
      </c>
      <c r="I238" s="2">
        <v>1</v>
      </c>
    </row>
    <row r="239" spans="1:9" x14ac:dyDescent="0.25">
      <c r="A239" s="2" t="s">
        <v>459</v>
      </c>
      <c r="B239" s="2" t="s">
        <v>16</v>
      </c>
      <c r="C239" s="2" t="s">
        <v>58</v>
      </c>
      <c r="D239" s="2" t="s">
        <v>40</v>
      </c>
      <c r="E239" s="2">
        <v>46853</v>
      </c>
      <c r="F239" s="2">
        <v>38</v>
      </c>
      <c r="G239" s="2">
        <v>29048.86</v>
      </c>
      <c r="H239" s="2" t="s">
        <v>48</v>
      </c>
      <c r="I239" s="2">
        <v>2</v>
      </c>
    </row>
    <row r="240" spans="1:9" x14ac:dyDescent="0.25">
      <c r="A240" s="2" t="s">
        <v>460</v>
      </c>
      <c r="B240" s="2" t="s">
        <v>17</v>
      </c>
      <c r="C240" s="2" t="s">
        <v>461</v>
      </c>
      <c r="D240" s="2" t="s">
        <v>40</v>
      </c>
      <c r="E240" s="2">
        <v>19473</v>
      </c>
      <c r="F240" s="2">
        <v>18</v>
      </c>
      <c r="G240" s="2">
        <v>15967.86</v>
      </c>
      <c r="H240" s="2" t="s">
        <v>51</v>
      </c>
      <c r="I240" s="2">
        <v>1</v>
      </c>
    </row>
    <row r="241" spans="1:9" x14ac:dyDescent="0.25">
      <c r="A241" s="2" t="s">
        <v>462</v>
      </c>
      <c r="B241" s="2" t="s">
        <v>16</v>
      </c>
      <c r="C241" s="2" t="s">
        <v>463</v>
      </c>
      <c r="D241" s="2" t="s">
        <v>54</v>
      </c>
      <c r="E241" s="2">
        <v>31952</v>
      </c>
      <c r="F241" s="2">
        <v>24</v>
      </c>
      <c r="G241" s="2">
        <v>24283.52</v>
      </c>
      <c r="H241" s="2" t="s">
        <v>45</v>
      </c>
      <c r="I241" s="2">
        <v>2</v>
      </c>
    </row>
    <row r="242" spans="1:9" x14ac:dyDescent="0.25">
      <c r="A242" s="2" t="s">
        <v>464</v>
      </c>
      <c r="B242" s="2" t="s">
        <v>17</v>
      </c>
      <c r="C242" s="2" t="s">
        <v>255</v>
      </c>
      <c r="D242" s="2" t="s">
        <v>54</v>
      </c>
      <c r="E242" s="2">
        <v>38644</v>
      </c>
      <c r="F242" s="2">
        <v>16</v>
      </c>
      <c r="G242" s="2">
        <v>32460.959999999999</v>
      </c>
      <c r="H242" s="2" t="s">
        <v>51</v>
      </c>
      <c r="I242" s="2">
        <v>4</v>
      </c>
    </row>
    <row r="243" spans="1:9" x14ac:dyDescent="0.25">
      <c r="A243" s="2" t="s">
        <v>465</v>
      </c>
      <c r="B243" s="2" t="s">
        <v>16</v>
      </c>
      <c r="C243" s="2" t="s">
        <v>466</v>
      </c>
      <c r="D243" s="2" t="s">
        <v>59</v>
      </c>
      <c r="E243" s="2">
        <v>11764</v>
      </c>
      <c r="F243" s="2">
        <v>37</v>
      </c>
      <c r="G243" s="2">
        <v>7411.32</v>
      </c>
      <c r="H243" s="2" t="s">
        <v>45</v>
      </c>
      <c r="I243" s="2">
        <v>2</v>
      </c>
    </row>
    <row r="244" spans="1:9" x14ac:dyDescent="0.25">
      <c r="A244" s="2" t="s">
        <v>467</v>
      </c>
      <c r="B244" s="2" t="s">
        <v>17</v>
      </c>
      <c r="C244" s="2" t="s">
        <v>468</v>
      </c>
      <c r="D244" s="2" t="s">
        <v>54</v>
      </c>
      <c r="E244" s="2">
        <v>1276</v>
      </c>
      <c r="F244" s="2">
        <v>21</v>
      </c>
      <c r="G244" s="2">
        <v>1008.04</v>
      </c>
      <c r="H244" s="2" t="s">
        <v>41</v>
      </c>
      <c r="I244" s="2">
        <v>2</v>
      </c>
    </row>
    <row r="245" spans="1:9" x14ac:dyDescent="0.25">
      <c r="A245" s="2" t="s">
        <v>469</v>
      </c>
      <c r="B245" s="2" t="s">
        <v>17</v>
      </c>
      <c r="C245" s="2" t="s">
        <v>470</v>
      </c>
      <c r="D245" s="2" t="s">
        <v>40</v>
      </c>
      <c r="E245" s="2">
        <v>44804</v>
      </c>
      <c r="F245" s="2">
        <v>21</v>
      </c>
      <c r="G245" s="2">
        <v>35395.160000000003</v>
      </c>
      <c r="H245" s="2" t="s">
        <v>51</v>
      </c>
      <c r="I245" s="2">
        <v>5</v>
      </c>
    </row>
    <row r="246" spans="1:9" x14ac:dyDescent="0.25">
      <c r="A246" s="2" t="s">
        <v>471</v>
      </c>
      <c r="B246" s="2" t="s">
        <v>16</v>
      </c>
      <c r="C246" s="2" t="s">
        <v>472</v>
      </c>
      <c r="D246" s="2" t="s">
        <v>59</v>
      </c>
      <c r="E246" s="2">
        <v>6164</v>
      </c>
      <c r="F246" s="2">
        <v>35</v>
      </c>
      <c r="G246" s="2">
        <v>4006.6</v>
      </c>
      <c r="H246" s="2" t="s">
        <v>41</v>
      </c>
      <c r="I246" s="2">
        <v>1</v>
      </c>
    </row>
    <row r="247" spans="1:9" x14ac:dyDescent="0.25">
      <c r="A247" s="2" t="s">
        <v>473</v>
      </c>
      <c r="B247" s="2" t="s">
        <v>16</v>
      </c>
      <c r="C247" s="2" t="s">
        <v>474</v>
      </c>
      <c r="D247" s="2" t="s">
        <v>44</v>
      </c>
      <c r="E247" s="2">
        <v>34679</v>
      </c>
      <c r="F247" s="2">
        <v>42</v>
      </c>
      <c r="G247" s="2">
        <v>20113.82</v>
      </c>
      <c r="H247" s="2" t="s">
        <v>45</v>
      </c>
      <c r="I247" s="2">
        <v>5</v>
      </c>
    </row>
    <row r="248" spans="1:9" x14ac:dyDescent="0.25">
      <c r="A248" s="2" t="s">
        <v>475</v>
      </c>
      <c r="B248" s="2" t="s">
        <v>16</v>
      </c>
      <c r="C248" s="2" t="s">
        <v>166</v>
      </c>
      <c r="D248" s="2" t="s">
        <v>54</v>
      </c>
      <c r="E248" s="2">
        <v>21712</v>
      </c>
      <c r="F248" s="2">
        <v>44</v>
      </c>
      <c r="G248" s="2">
        <v>12158.72</v>
      </c>
      <c r="H248" s="2" t="s">
        <v>51</v>
      </c>
      <c r="I248" s="2">
        <v>3</v>
      </c>
    </row>
    <row r="249" spans="1:9" x14ac:dyDescent="0.25">
      <c r="A249" s="2" t="s">
        <v>476</v>
      </c>
      <c r="B249" s="2" t="s">
        <v>17</v>
      </c>
      <c r="C249" s="2" t="s">
        <v>114</v>
      </c>
      <c r="D249" s="2" t="s">
        <v>59</v>
      </c>
      <c r="E249" s="2">
        <v>18619</v>
      </c>
      <c r="F249" s="2">
        <v>18</v>
      </c>
      <c r="G249" s="2">
        <v>15267.58</v>
      </c>
      <c r="H249" s="2" t="s">
        <v>45</v>
      </c>
      <c r="I249" s="2">
        <v>4</v>
      </c>
    </row>
    <row r="250" spans="1:9" x14ac:dyDescent="0.25">
      <c r="A250" s="2" t="s">
        <v>477</v>
      </c>
      <c r="B250" s="2" t="s">
        <v>16</v>
      </c>
      <c r="C250" s="2" t="s">
        <v>478</v>
      </c>
      <c r="D250" s="2" t="s">
        <v>54</v>
      </c>
      <c r="E250" s="2">
        <v>10957</v>
      </c>
      <c r="F250" s="2">
        <v>43</v>
      </c>
      <c r="G250" s="2">
        <v>6245.49</v>
      </c>
      <c r="H250" s="2" t="s">
        <v>48</v>
      </c>
      <c r="I250" s="2">
        <v>2</v>
      </c>
    </row>
    <row r="251" spans="1:9" x14ac:dyDescent="0.25">
      <c r="A251" s="2" t="s">
        <v>479</v>
      </c>
      <c r="B251" s="2" t="s">
        <v>16</v>
      </c>
      <c r="C251" s="2" t="s">
        <v>480</v>
      </c>
      <c r="D251" s="2" t="s">
        <v>59</v>
      </c>
      <c r="E251" s="2">
        <v>6232</v>
      </c>
      <c r="F251" s="2">
        <v>39</v>
      </c>
      <c r="G251" s="2">
        <v>3801.52</v>
      </c>
      <c r="H251" s="2" t="s">
        <v>48</v>
      </c>
      <c r="I251" s="2">
        <v>2</v>
      </c>
    </row>
    <row r="252" spans="1:9" x14ac:dyDescent="0.25">
      <c r="A252" s="2" t="s">
        <v>481</v>
      </c>
      <c r="B252" s="2" t="s">
        <v>17</v>
      </c>
      <c r="C252" s="2" t="s">
        <v>178</v>
      </c>
      <c r="D252" s="2" t="s">
        <v>62</v>
      </c>
      <c r="E252" s="2">
        <v>15415</v>
      </c>
      <c r="F252" s="2">
        <v>14</v>
      </c>
      <c r="G252" s="2">
        <v>13256.9</v>
      </c>
      <c r="H252" s="2" t="s">
        <v>48</v>
      </c>
      <c r="I252" s="2">
        <v>3</v>
      </c>
    </row>
    <row r="253" spans="1:9" x14ac:dyDescent="0.25">
      <c r="A253" s="2" t="s">
        <v>482</v>
      </c>
      <c r="B253" s="2" t="s">
        <v>16</v>
      </c>
      <c r="C253" s="2" t="s">
        <v>483</v>
      </c>
      <c r="D253" s="2" t="s">
        <v>54</v>
      </c>
      <c r="E253" s="2">
        <v>21878</v>
      </c>
      <c r="F253" s="2">
        <v>26</v>
      </c>
      <c r="G253" s="2">
        <v>16189.72</v>
      </c>
      <c r="H253" s="2" t="s">
        <v>45</v>
      </c>
      <c r="I253" s="2">
        <v>4</v>
      </c>
    </row>
    <row r="254" spans="1:9" x14ac:dyDescent="0.25">
      <c r="A254" s="2" t="s">
        <v>484</v>
      </c>
      <c r="B254" s="2" t="s">
        <v>16</v>
      </c>
      <c r="C254" s="2" t="s">
        <v>98</v>
      </c>
      <c r="D254" s="2" t="s">
        <v>59</v>
      </c>
      <c r="E254" s="2">
        <v>8436</v>
      </c>
      <c r="F254" s="2">
        <v>30</v>
      </c>
      <c r="G254" s="2">
        <v>5905.2</v>
      </c>
      <c r="H254" s="2" t="s">
        <v>41</v>
      </c>
      <c r="I254" s="2">
        <v>4</v>
      </c>
    </row>
    <row r="255" spans="1:9" x14ac:dyDescent="0.25">
      <c r="A255" s="2" t="s">
        <v>485</v>
      </c>
      <c r="B255" s="2" t="s">
        <v>17</v>
      </c>
      <c r="C255" s="2" t="s">
        <v>486</v>
      </c>
      <c r="D255" s="2" t="s">
        <v>59</v>
      </c>
      <c r="E255" s="2">
        <v>30672</v>
      </c>
      <c r="F255" s="2">
        <v>20</v>
      </c>
      <c r="G255" s="2">
        <v>24537.599999999999</v>
      </c>
      <c r="H255" s="2" t="s">
        <v>51</v>
      </c>
      <c r="I255" s="2">
        <v>5</v>
      </c>
    </row>
    <row r="256" spans="1:9" x14ac:dyDescent="0.25">
      <c r="A256" s="2" t="s">
        <v>487</v>
      </c>
      <c r="B256" s="2" t="s">
        <v>17</v>
      </c>
      <c r="C256" s="2" t="s">
        <v>206</v>
      </c>
      <c r="D256" s="2" t="s">
        <v>62</v>
      </c>
      <c r="E256" s="2">
        <v>37916</v>
      </c>
      <c r="F256" s="2">
        <v>27</v>
      </c>
      <c r="G256" s="2">
        <v>27678.68</v>
      </c>
      <c r="H256" s="2" t="s">
        <v>45</v>
      </c>
      <c r="I256" s="2">
        <v>3</v>
      </c>
    </row>
    <row r="257" spans="1:9" x14ac:dyDescent="0.25">
      <c r="A257" s="2" t="s">
        <v>488</v>
      </c>
      <c r="B257" s="2" t="s">
        <v>17</v>
      </c>
      <c r="C257" s="2" t="s">
        <v>158</v>
      </c>
      <c r="D257" s="2" t="s">
        <v>62</v>
      </c>
      <c r="E257" s="2">
        <v>31463</v>
      </c>
      <c r="F257" s="2">
        <v>28</v>
      </c>
      <c r="G257" s="2">
        <v>22653.360000000001</v>
      </c>
      <c r="H257" s="2" t="s">
        <v>45</v>
      </c>
      <c r="I257" s="2">
        <v>3</v>
      </c>
    </row>
    <row r="258" spans="1:9" x14ac:dyDescent="0.25">
      <c r="A258" s="2" t="s">
        <v>489</v>
      </c>
      <c r="B258" s="2" t="s">
        <v>17</v>
      </c>
      <c r="C258" s="2" t="s">
        <v>490</v>
      </c>
      <c r="D258" s="2" t="s">
        <v>59</v>
      </c>
      <c r="E258" s="2">
        <v>27623</v>
      </c>
      <c r="F258" s="2">
        <v>25</v>
      </c>
      <c r="G258" s="2">
        <v>20717.25</v>
      </c>
      <c r="H258" s="2" t="s">
        <v>41</v>
      </c>
      <c r="I258" s="2">
        <v>5</v>
      </c>
    </row>
    <row r="259" spans="1:9" x14ac:dyDescent="0.25">
      <c r="A259" s="2" t="s">
        <v>491</v>
      </c>
      <c r="B259" s="2" t="s">
        <v>17</v>
      </c>
      <c r="C259" s="2" t="s">
        <v>492</v>
      </c>
      <c r="D259" s="2" t="s">
        <v>54</v>
      </c>
      <c r="E259" s="2">
        <v>49549</v>
      </c>
      <c r="F259" s="2">
        <v>29</v>
      </c>
      <c r="G259" s="2">
        <v>35179.79</v>
      </c>
      <c r="H259" s="2" t="s">
        <v>48</v>
      </c>
      <c r="I259" s="2">
        <v>2</v>
      </c>
    </row>
    <row r="260" spans="1:9" x14ac:dyDescent="0.25">
      <c r="A260" s="2" t="s">
        <v>493</v>
      </c>
      <c r="B260" s="2" t="s">
        <v>16</v>
      </c>
      <c r="C260" s="2" t="s">
        <v>494</v>
      </c>
      <c r="D260" s="2" t="s">
        <v>44</v>
      </c>
      <c r="E260" s="2">
        <v>46113</v>
      </c>
      <c r="F260" s="2">
        <v>29</v>
      </c>
      <c r="G260" s="2">
        <v>32740.23</v>
      </c>
      <c r="H260" s="2" t="s">
        <v>41</v>
      </c>
      <c r="I260" s="2">
        <v>3</v>
      </c>
    </row>
    <row r="261" spans="1:9" x14ac:dyDescent="0.25">
      <c r="A261" s="2" t="s">
        <v>495</v>
      </c>
      <c r="B261" s="2" t="s">
        <v>16</v>
      </c>
      <c r="C261" s="2" t="s">
        <v>304</v>
      </c>
      <c r="D261" s="2" t="s">
        <v>40</v>
      </c>
      <c r="E261" s="2">
        <v>33913</v>
      </c>
      <c r="F261" s="2">
        <v>37</v>
      </c>
      <c r="G261" s="2">
        <v>21365.19</v>
      </c>
      <c r="H261" s="2" t="s">
        <v>45</v>
      </c>
      <c r="I261" s="2">
        <v>4</v>
      </c>
    </row>
    <row r="262" spans="1:9" x14ac:dyDescent="0.25">
      <c r="A262" s="2" t="s">
        <v>496</v>
      </c>
      <c r="B262" s="2" t="s">
        <v>17</v>
      </c>
      <c r="C262" s="2" t="s">
        <v>88</v>
      </c>
      <c r="D262" s="2" t="s">
        <v>44</v>
      </c>
      <c r="E262" s="2">
        <v>49042</v>
      </c>
      <c r="F262" s="2">
        <v>12</v>
      </c>
      <c r="G262" s="2">
        <v>43156.959999999999</v>
      </c>
      <c r="H262" s="2" t="s">
        <v>45</v>
      </c>
      <c r="I262" s="2">
        <v>1</v>
      </c>
    </row>
    <row r="263" spans="1:9" x14ac:dyDescent="0.25">
      <c r="A263" s="2" t="s">
        <v>497</v>
      </c>
      <c r="B263" s="2" t="s">
        <v>16</v>
      </c>
      <c r="C263" s="2" t="s">
        <v>498</v>
      </c>
      <c r="D263" s="2" t="s">
        <v>59</v>
      </c>
      <c r="E263" s="2">
        <v>48183</v>
      </c>
      <c r="F263" s="2">
        <v>42</v>
      </c>
      <c r="G263" s="2">
        <v>27946.14</v>
      </c>
      <c r="H263" s="2" t="s">
        <v>45</v>
      </c>
      <c r="I263" s="2">
        <v>2</v>
      </c>
    </row>
    <row r="264" spans="1:9" x14ac:dyDescent="0.25">
      <c r="A264" s="2" t="s">
        <v>499</v>
      </c>
      <c r="B264" s="2" t="s">
        <v>16</v>
      </c>
      <c r="C264" s="2" t="s">
        <v>104</v>
      </c>
      <c r="D264" s="2" t="s">
        <v>59</v>
      </c>
      <c r="E264" s="2">
        <v>1060</v>
      </c>
      <c r="F264" s="2">
        <v>36</v>
      </c>
      <c r="G264" s="2">
        <v>678.4</v>
      </c>
      <c r="H264" s="2" t="s">
        <v>51</v>
      </c>
      <c r="I264" s="2">
        <v>2</v>
      </c>
    </row>
    <row r="265" spans="1:9" x14ac:dyDescent="0.25">
      <c r="A265" s="2" t="s">
        <v>500</v>
      </c>
      <c r="B265" s="2" t="s">
        <v>17</v>
      </c>
      <c r="C265" s="2" t="s">
        <v>501</v>
      </c>
      <c r="D265" s="2" t="s">
        <v>54</v>
      </c>
      <c r="E265" s="2">
        <v>46339</v>
      </c>
      <c r="F265" s="2">
        <v>28</v>
      </c>
      <c r="G265" s="2">
        <v>33364.080000000002</v>
      </c>
      <c r="H265" s="2" t="s">
        <v>51</v>
      </c>
      <c r="I265" s="2">
        <v>3</v>
      </c>
    </row>
    <row r="266" spans="1:9" x14ac:dyDescent="0.25">
      <c r="A266" s="2" t="s">
        <v>502</v>
      </c>
      <c r="B266" s="2" t="s">
        <v>17</v>
      </c>
      <c r="C266" s="2" t="s">
        <v>270</v>
      </c>
      <c r="D266" s="2" t="s">
        <v>62</v>
      </c>
      <c r="E266" s="2">
        <v>5797</v>
      </c>
      <c r="F266" s="2">
        <v>19</v>
      </c>
      <c r="G266" s="2">
        <v>4695.57</v>
      </c>
      <c r="H266" s="2" t="s">
        <v>45</v>
      </c>
      <c r="I266" s="2">
        <v>4</v>
      </c>
    </row>
    <row r="267" spans="1:9" x14ac:dyDescent="0.25">
      <c r="A267" s="2" t="s">
        <v>503</v>
      </c>
      <c r="B267" s="2" t="s">
        <v>17</v>
      </c>
      <c r="C267" s="2" t="s">
        <v>319</v>
      </c>
      <c r="D267" s="2" t="s">
        <v>40</v>
      </c>
      <c r="E267" s="2">
        <v>49170</v>
      </c>
      <c r="F267" s="2">
        <v>12</v>
      </c>
      <c r="G267" s="2">
        <v>43269.599999999999</v>
      </c>
      <c r="H267" s="2" t="s">
        <v>41</v>
      </c>
      <c r="I267" s="2">
        <v>1</v>
      </c>
    </row>
    <row r="268" spans="1:9" x14ac:dyDescent="0.25">
      <c r="A268" s="2" t="s">
        <v>504</v>
      </c>
      <c r="B268" s="2" t="s">
        <v>17</v>
      </c>
      <c r="C268" s="2" t="s">
        <v>80</v>
      </c>
      <c r="D268" s="2" t="s">
        <v>62</v>
      </c>
      <c r="E268" s="2">
        <v>37245</v>
      </c>
      <c r="F268" s="2">
        <v>13</v>
      </c>
      <c r="G268" s="2">
        <v>32403.15</v>
      </c>
      <c r="H268" s="2" t="s">
        <v>45</v>
      </c>
      <c r="I268" s="2">
        <v>5</v>
      </c>
    </row>
    <row r="269" spans="1:9" x14ac:dyDescent="0.25">
      <c r="A269" s="2" t="s">
        <v>505</v>
      </c>
      <c r="B269" s="2" t="s">
        <v>17</v>
      </c>
      <c r="C269" s="2" t="s">
        <v>419</v>
      </c>
      <c r="D269" s="2" t="s">
        <v>44</v>
      </c>
      <c r="E269" s="2">
        <v>21280</v>
      </c>
      <c r="F269" s="2">
        <v>26</v>
      </c>
      <c r="G269" s="2">
        <v>15747.2</v>
      </c>
      <c r="H269" s="2" t="s">
        <v>51</v>
      </c>
      <c r="I269" s="2">
        <v>3</v>
      </c>
    </row>
    <row r="270" spans="1:9" x14ac:dyDescent="0.25">
      <c r="A270" s="2" t="s">
        <v>506</v>
      </c>
      <c r="B270" s="2" t="s">
        <v>16</v>
      </c>
      <c r="C270" s="2" t="s">
        <v>507</v>
      </c>
      <c r="D270" s="2" t="s">
        <v>40</v>
      </c>
      <c r="E270" s="2">
        <v>10035</v>
      </c>
      <c r="F270" s="2">
        <v>22</v>
      </c>
      <c r="G270" s="2">
        <v>7827.3</v>
      </c>
      <c r="H270" s="2" t="s">
        <v>48</v>
      </c>
      <c r="I270" s="2">
        <v>2</v>
      </c>
    </row>
    <row r="271" spans="1:9" x14ac:dyDescent="0.25">
      <c r="A271" s="2" t="s">
        <v>508</v>
      </c>
      <c r="B271" s="2" t="s">
        <v>17</v>
      </c>
      <c r="C271" s="2" t="s">
        <v>509</v>
      </c>
      <c r="D271" s="2" t="s">
        <v>40</v>
      </c>
      <c r="E271" s="2">
        <v>33262</v>
      </c>
      <c r="F271" s="2">
        <v>19</v>
      </c>
      <c r="G271" s="2">
        <v>26942.22</v>
      </c>
      <c r="H271" s="2" t="s">
        <v>51</v>
      </c>
      <c r="I271" s="2">
        <v>1</v>
      </c>
    </row>
    <row r="272" spans="1:9" x14ac:dyDescent="0.25">
      <c r="A272" s="2" t="s">
        <v>510</v>
      </c>
      <c r="B272" s="2" t="s">
        <v>17</v>
      </c>
      <c r="C272" s="2" t="s">
        <v>511</v>
      </c>
      <c r="D272" s="2" t="s">
        <v>40</v>
      </c>
      <c r="E272" s="2">
        <v>23274</v>
      </c>
      <c r="F272" s="2">
        <v>8</v>
      </c>
      <c r="G272" s="2">
        <v>21412.080000000002</v>
      </c>
      <c r="H272" s="2" t="s">
        <v>51</v>
      </c>
      <c r="I272" s="2">
        <v>3</v>
      </c>
    </row>
    <row r="273" spans="1:9" x14ac:dyDescent="0.25">
      <c r="A273" s="2" t="s">
        <v>512</v>
      </c>
      <c r="B273" s="2" t="s">
        <v>16</v>
      </c>
      <c r="C273" s="2" t="s">
        <v>362</v>
      </c>
      <c r="D273" s="2" t="s">
        <v>40</v>
      </c>
      <c r="E273" s="2">
        <v>1274</v>
      </c>
      <c r="F273" s="2">
        <v>43</v>
      </c>
      <c r="G273" s="2">
        <v>726.18</v>
      </c>
      <c r="H273" s="2" t="s">
        <v>45</v>
      </c>
      <c r="I273" s="2">
        <v>5</v>
      </c>
    </row>
    <row r="274" spans="1:9" x14ac:dyDescent="0.25">
      <c r="A274" s="2" t="s">
        <v>513</v>
      </c>
      <c r="B274" s="2" t="s">
        <v>16</v>
      </c>
      <c r="C274" s="2" t="s">
        <v>514</v>
      </c>
      <c r="D274" s="2" t="s">
        <v>40</v>
      </c>
      <c r="E274" s="2">
        <v>3709</v>
      </c>
      <c r="F274" s="2">
        <v>34</v>
      </c>
      <c r="G274" s="2">
        <v>2447.94</v>
      </c>
      <c r="H274" s="2" t="s">
        <v>41</v>
      </c>
      <c r="I274" s="2">
        <v>3</v>
      </c>
    </row>
    <row r="275" spans="1:9" x14ac:dyDescent="0.25">
      <c r="A275" s="2" t="s">
        <v>515</v>
      </c>
      <c r="B275" s="2" t="s">
        <v>16</v>
      </c>
      <c r="C275" s="2" t="s">
        <v>118</v>
      </c>
      <c r="D275" s="2" t="s">
        <v>62</v>
      </c>
      <c r="E275" s="2">
        <v>40542</v>
      </c>
      <c r="F275" s="2">
        <v>32</v>
      </c>
      <c r="G275" s="2">
        <v>27568.560000000001</v>
      </c>
      <c r="H275" s="2" t="s">
        <v>51</v>
      </c>
      <c r="I275" s="2">
        <v>3</v>
      </c>
    </row>
    <row r="276" spans="1:9" x14ac:dyDescent="0.25">
      <c r="A276" s="2" t="s">
        <v>516</v>
      </c>
      <c r="B276" s="2" t="s">
        <v>17</v>
      </c>
      <c r="C276" s="2" t="s">
        <v>427</v>
      </c>
      <c r="D276" s="2" t="s">
        <v>54</v>
      </c>
      <c r="E276" s="2">
        <v>20245</v>
      </c>
      <c r="F276" s="2">
        <v>12</v>
      </c>
      <c r="G276" s="2">
        <v>17815.599999999999</v>
      </c>
      <c r="H276" s="2" t="s">
        <v>41</v>
      </c>
      <c r="I276" s="2">
        <v>5</v>
      </c>
    </row>
    <row r="277" spans="1:9" x14ac:dyDescent="0.25">
      <c r="A277" s="2" t="s">
        <v>517</v>
      </c>
      <c r="B277" s="2" t="s">
        <v>17</v>
      </c>
      <c r="C277" s="2" t="s">
        <v>518</v>
      </c>
      <c r="D277" s="2" t="s">
        <v>40</v>
      </c>
      <c r="E277" s="2">
        <v>35526</v>
      </c>
      <c r="F277" s="2">
        <v>13</v>
      </c>
      <c r="G277" s="2">
        <v>30907.62</v>
      </c>
      <c r="H277" s="2" t="s">
        <v>48</v>
      </c>
      <c r="I277" s="2">
        <v>3</v>
      </c>
    </row>
    <row r="278" spans="1:9" x14ac:dyDescent="0.25">
      <c r="A278" s="2" t="s">
        <v>519</v>
      </c>
      <c r="B278" s="2" t="s">
        <v>17</v>
      </c>
      <c r="C278" s="2" t="s">
        <v>520</v>
      </c>
      <c r="D278" s="2" t="s">
        <v>40</v>
      </c>
      <c r="E278" s="2">
        <v>18272</v>
      </c>
      <c r="F278" s="2">
        <v>7</v>
      </c>
      <c r="G278" s="2">
        <v>16992.96</v>
      </c>
      <c r="H278" s="2" t="s">
        <v>45</v>
      </c>
      <c r="I278" s="2">
        <v>1</v>
      </c>
    </row>
    <row r="279" spans="1:9" x14ac:dyDescent="0.25">
      <c r="A279" s="2" t="s">
        <v>521</v>
      </c>
      <c r="B279" s="2" t="s">
        <v>16</v>
      </c>
      <c r="C279" s="2" t="s">
        <v>250</v>
      </c>
      <c r="D279" s="2" t="s">
        <v>54</v>
      </c>
      <c r="E279" s="2">
        <v>22390</v>
      </c>
      <c r="F279" s="2">
        <v>17</v>
      </c>
      <c r="G279" s="2">
        <v>18583.7</v>
      </c>
      <c r="H279" s="2" t="s">
        <v>41</v>
      </c>
      <c r="I279" s="2">
        <v>2</v>
      </c>
    </row>
    <row r="280" spans="1:9" x14ac:dyDescent="0.25">
      <c r="A280" s="2" t="s">
        <v>522</v>
      </c>
      <c r="B280" s="2" t="s">
        <v>16</v>
      </c>
      <c r="C280" s="2" t="s">
        <v>523</v>
      </c>
      <c r="D280" s="2" t="s">
        <v>54</v>
      </c>
      <c r="E280" s="2">
        <v>13182</v>
      </c>
      <c r="F280" s="2">
        <v>37</v>
      </c>
      <c r="G280" s="2">
        <v>8304.66</v>
      </c>
      <c r="H280" s="2" t="s">
        <v>48</v>
      </c>
      <c r="I280" s="2">
        <v>5</v>
      </c>
    </row>
    <row r="281" spans="1:9" x14ac:dyDescent="0.25">
      <c r="A281" s="2" t="s">
        <v>524</v>
      </c>
      <c r="B281" s="2" t="s">
        <v>17</v>
      </c>
      <c r="C281" s="2" t="s">
        <v>490</v>
      </c>
      <c r="D281" s="2" t="s">
        <v>54</v>
      </c>
      <c r="E281" s="2">
        <v>39954</v>
      </c>
      <c r="F281" s="2">
        <v>26</v>
      </c>
      <c r="G281" s="2">
        <v>29565.96</v>
      </c>
      <c r="H281" s="2" t="s">
        <v>41</v>
      </c>
      <c r="I281" s="2">
        <v>4</v>
      </c>
    </row>
    <row r="282" spans="1:9" x14ac:dyDescent="0.25">
      <c r="A282" s="2" t="s">
        <v>525</v>
      </c>
      <c r="B282" s="2" t="s">
        <v>16</v>
      </c>
      <c r="C282" s="2" t="s">
        <v>526</v>
      </c>
      <c r="D282" s="2" t="s">
        <v>62</v>
      </c>
      <c r="E282" s="2">
        <v>9961</v>
      </c>
      <c r="F282" s="2">
        <v>38</v>
      </c>
      <c r="G282" s="2">
        <v>6175.82</v>
      </c>
      <c r="H282" s="2" t="s">
        <v>48</v>
      </c>
      <c r="I282" s="2">
        <v>1</v>
      </c>
    </row>
    <row r="283" spans="1:9" x14ac:dyDescent="0.25">
      <c r="A283" s="2" t="s">
        <v>527</v>
      </c>
      <c r="B283" s="2" t="s">
        <v>17</v>
      </c>
      <c r="C283" s="2" t="s">
        <v>528</v>
      </c>
      <c r="D283" s="2" t="s">
        <v>40</v>
      </c>
      <c r="E283" s="2">
        <v>47754</v>
      </c>
      <c r="F283" s="2">
        <v>13</v>
      </c>
      <c r="G283" s="2">
        <v>41545.980000000003</v>
      </c>
      <c r="H283" s="2" t="s">
        <v>45</v>
      </c>
      <c r="I283" s="2">
        <v>2</v>
      </c>
    </row>
    <row r="284" spans="1:9" x14ac:dyDescent="0.25">
      <c r="A284" s="2" t="s">
        <v>529</v>
      </c>
      <c r="B284" s="2" t="s">
        <v>16</v>
      </c>
      <c r="C284" s="2" t="s">
        <v>80</v>
      </c>
      <c r="D284" s="2" t="s">
        <v>54</v>
      </c>
      <c r="E284" s="2">
        <v>41450</v>
      </c>
      <c r="F284" s="2">
        <v>16</v>
      </c>
      <c r="G284" s="2">
        <v>34818</v>
      </c>
      <c r="H284" s="2" t="s">
        <v>45</v>
      </c>
      <c r="I284" s="2">
        <v>4</v>
      </c>
    </row>
    <row r="285" spans="1:9" x14ac:dyDescent="0.25">
      <c r="A285" s="2" t="s">
        <v>530</v>
      </c>
      <c r="B285" s="2" t="s">
        <v>16</v>
      </c>
      <c r="C285" s="2" t="s">
        <v>68</v>
      </c>
      <c r="D285" s="2" t="s">
        <v>40</v>
      </c>
      <c r="E285" s="2">
        <v>481</v>
      </c>
      <c r="F285" s="2">
        <v>43</v>
      </c>
      <c r="G285" s="2">
        <v>274.17</v>
      </c>
      <c r="H285" s="2" t="s">
        <v>48</v>
      </c>
      <c r="I285" s="2">
        <v>3</v>
      </c>
    </row>
    <row r="286" spans="1:9" x14ac:dyDescent="0.25">
      <c r="A286" s="2" t="s">
        <v>531</v>
      </c>
      <c r="B286" s="2" t="s">
        <v>17</v>
      </c>
      <c r="C286" s="2" t="s">
        <v>532</v>
      </c>
      <c r="D286" s="2" t="s">
        <v>40</v>
      </c>
      <c r="E286" s="2">
        <v>46202</v>
      </c>
      <c r="F286" s="2">
        <v>26</v>
      </c>
      <c r="G286" s="2">
        <v>34189.480000000003</v>
      </c>
      <c r="H286" s="2" t="s">
        <v>51</v>
      </c>
      <c r="I286" s="2">
        <v>2</v>
      </c>
    </row>
    <row r="287" spans="1:9" x14ac:dyDescent="0.25">
      <c r="A287" s="2" t="s">
        <v>533</v>
      </c>
      <c r="B287" s="2" t="s">
        <v>16</v>
      </c>
      <c r="C287" s="2" t="s">
        <v>160</v>
      </c>
      <c r="D287" s="2" t="s">
        <v>44</v>
      </c>
      <c r="E287" s="2">
        <v>8036</v>
      </c>
      <c r="F287" s="2">
        <v>33</v>
      </c>
      <c r="G287" s="2">
        <v>5384.12</v>
      </c>
      <c r="H287" s="2" t="s">
        <v>51</v>
      </c>
      <c r="I287" s="2">
        <v>4</v>
      </c>
    </row>
    <row r="288" spans="1:9" x14ac:dyDescent="0.25">
      <c r="A288" s="2" t="s">
        <v>534</v>
      </c>
      <c r="B288" s="2" t="s">
        <v>16</v>
      </c>
      <c r="C288" s="2" t="s">
        <v>535</v>
      </c>
      <c r="D288" s="2" t="s">
        <v>54</v>
      </c>
      <c r="E288" s="2">
        <v>36344</v>
      </c>
      <c r="F288" s="2">
        <v>24</v>
      </c>
      <c r="G288" s="2">
        <v>27621.439999999999</v>
      </c>
      <c r="H288" s="2" t="s">
        <v>48</v>
      </c>
      <c r="I288" s="2">
        <v>2</v>
      </c>
    </row>
    <row r="289" spans="1:9" x14ac:dyDescent="0.25">
      <c r="A289" s="2" t="s">
        <v>536</v>
      </c>
      <c r="B289" s="2" t="s">
        <v>16</v>
      </c>
      <c r="C289" s="2" t="s">
        <v>92</v>
      </c>
      <c r="D289" s="2" t="s">
        <v>40</v>
      </c>
      <c r="E289" s="2">
        <v>10177</v>
      </c>
      <c r="F289" s="2">
        <v>49</v>
      </c>
      <c r="G289" s="2">
        <v>5190.2700000000004</v>
      </c>
      <c r="H289" s="2" t="s">
        <v>48</v>
      </c>
      <c r="I289" s="2">
        <v>5</v>
      </c>
    </row>
    <row r="290" spans="1:9" x14ac:dyDescent="0.25">
      <c r="A290" s="2" t="s">
        <v>537</v>
      </c>
      <c r="B290" s="2" t="s">
        <v>17</v>
      </c>
      <c r="C290" s="2" t="s">
        <v>538</v>
      </c>
      <c r="D290" s="2" t="s">
        <v>44</v>
      </c>
      <c r="E290" s="2">
        <v>28306</v>
      </c>
      <c r="F290" s="2">
        <v>15</v>
      </c>
      <c r="G290" s="2">
        <v>24060.1</v>
      </c>
      <c r="H290" s="2" t="s">
        <v>48</v>
      </c>
      <c r="I290" s="2">
        <v>4</v>
      </c>
    </row>
    <row r="291" spans="1:9" x14ac:dyDescent="0.25">
      <c r="A291" s="2" t="s">
        <v>539</v>
      </c>
      <c r="B291" s="2" t="s">
        <v>16</v>
      </c>
      <c r="C291" s="2" t="s">
        <v>61</v>
      </c>
      <c r="D291" s="2" t="s">
        <v>40</v>
      </c>
      <c r="E291" s="2">
        <v>35282</v>
      </c>
      <c r="F291" s="2">
        <v>39</v>
      </c>
      <c r="G291" s="2">
        <v>21522.02</v>
      </c>
      <c r="H291" s="2" t="s">
        <v>48</v>
      </c>
      <c r="I291" s="2">
        <v>4</v>
      </c>
    </row>
    <row r="292" spans="1:9" x14ac:dyDescent="0.25">
      <c r="A292" s="2" t="s">
        <v>540</v>
      </c>
      <c r="B292" s="2" t="s">
        <v>16</v>
      </c>
      <c r="C292" s="2" t="s">
        <v>427</v>
      </c>
      <c r="D292" s="2" t="s">
        <v>44</v>
      </c>
      <c r="E292" s="2">
        <v>7799</v>
      </c>
      <c r="F292" s="2">
        <v>27</v>
      </c>
      <c r="G292" s="2">
        <v>5693.27</v>
      </c>
      <c r="H292" s="2" t="s">
        <v>45</v>
      </c>
      <c r="I292" s="2">
        <v>5</v>
      </c>
    </row>
    <row r="293" spans="1:9" x14ac:dyDescent="0.25">
      <c r="A293" s="2" t="s">
        <v>541</v>
      </c>
      <c r="B293" s="2" t="s">
        <v>17</v>
      </c>
      <c r="C293" s="2" t="s">
        <v>542</v>
      </c>
      <c r="D293" s="2" t="s">
        <v>59</v>
      </c>
      <c r="E293" s="2">
        <v>42319</v>
      </c>
      <c r="F293" s="2">
        <v>21</v>
      </c>
      <c r="G293" s="2">
        <v>33432.01</v>
      </c>
      <c r="H293" s="2" t="s">
        <v>41</v>
      </c>
      <c r="I293" s="2">
        <v>1</v>
      </c>
    </row>
    <row r="294" spans="1:9" x14ac:dyDescent="0.25">
      <c r="A294" s="2" t="s">
        <v>543</v>
      </c>
      <c r="B294" s="2" t="s">
        <v>17</v>
      </c>
      <c r="C294" s="2" t="s">
        <v>544</v>
      </c>
      <c r="D294" s="2" t="s">
        <v>54</v>
      </c>
      <c r="E294" s="2">
        <v>30884</v>
      </c>
      <c r="F294" s="2">
        <v>30</v>
      </c>
      <c r="G294" s="2">
        <v>21618.799999999999</v>
      </c>
      <c r="H294" s="2" t="s">
        <v>45</v>
      </c>
      <c r="I294" s="2">
        <v>3</v>
      </c>
    </row>
    <row r="295" spans="1:9" x14ac:dyDescent="0.25">
      <c r="A295" s="2" t="s">
        <v>545</v>
      </c>
      <c r="B295" s="2" t="s">
        <v>17</v>
      </c>
      <c r="C295" s="2" t="s">
        <v>546</v>
      </c>
      <c r="D295" s="2" t="s">
        <v>62</v>
      </c>
      <c r="E295" s="2">
        <v>18918</v>
      </c>
      <c r="F295" s="2">
        <v>14</v>
      </c>
      <c r="G295" s="2">
        <v>16269.48</v>
      </c>
      <c r="H295" s="2" t="s">
        <v>41</v>
      </c>
      <c r="I295" s="2">
        <v>4</v>
      </c>
    </row>
    <row r="296" spans="1:9" x14ac:dyDescent="0.25">
      <c r="A296" s="2" t="s">
        <v>547</v>
      </c>
      <c r="B296" s="2" t="s">
        <v>16</v>
      </c>
      <c r="C296" s="2" t="s">
        <v>116</v>
      </c>
      <c r="D296" s="2" t="s">
        <v>62</v>
      </c>
      <c r="E296" s="2">
        <v>39476</v>
      </c>
      <c r="F296" s="2">
        <v>18</v>
      </c>
      <c r="G296" s="2">
        <v>32370.32</v>
      </c>
      <c r="H296" s="2" t="s">
        <v>51</v>
      </c>
      <c r="I296" s="2">
        <v>1</v>
      </c>
    </row>
    <row r="297" spans="1:9" x14ac:dyDescent="0.25">
      <c r="A297" s="2" t="s">
        <v>548</v>
      </c>
      <c r="B297" s="2" t="s">
        <v>17</v>
      </c>
      <c r="C297" s="2" t="s">
        <v>58</v>
      </c>
      <c r="D297" s="2" t="s">
        <v>44</v>
      </c>
      <c r="E297" s="2">
        <v>24314</v>
      </c>
      <c r="F297" s="2">
        <v>29</v>
      </c>
      <c r="G297" s="2">
        <v>17262.939999999999</v>
      </c>
      <c r="H297" s="2" t="s">
        <v>45</v>
      </c>
      <c r="I297" s="2">
        <v>1</v>
      </c>
    </row>
    <row r="298" spans="1:9" x14ac:dyDescent="0.25">
      <c r="A298" s="2" t="s">
        <v>549</v>
      </c>
      <c r="B298" s="2" t="s">
        <v>16</v>
      </c>
      <c r="C298" s="2" t="s">
        <v>550</v>
      </c>
      <c r="D298" s="2" t="s">
        <v>44</v>
      </c>
      <c r="E298" s="2">
        <v>3257</v>
      </c>
      <c r="F298" s="2">
        <v>39</v>
      </c>
      <c r="G298" s="2">
        <v>1986.77</v>
      </c>
      <c r="H298" s="2" t="s">
        <v>45</v>
      </c>
      <c r="I298" s="2">
        <v>5</v>
      </c>
    </row>
    <row r="299" spans="1:9" x14ac:dyDescent="0.25">
      <c r="A299" s="2" t="s">
        <v>551</v>
      </c>
      <c r="B299" s="2" t="s">
        <v>17</v>
      </c>
      <c r="C299" s="2" t="s">
        <v>441</v>
      </c>
      <c r="D299" s="2" t="s">
        <v>40</v>
      </c>
      <c r="E299" s="2">
        <v>35404</v>
      </c>
      <c r="F299" s="2">
        <v>17</v>
      </c>
      <c r="G299" s="2">
        <v>29385.32</v>
      </c>
      <c r="H299" s="2" t="s">
        <v>48</v>
      </c>
      <c r="I299" s="2">
        <v>3</v>
      </c>
    </row>
    <row r="300" spans="1:9" x14ac:dyDescent="0.25">
      <c r="A300" s="2" t="s">
        <v>552</v>
      </c>
      <c r="B300" s="2" t="s">
        <v>17</v>
      </c>
      <c r="C300" s="2" t="s">
        <v>110</v>
      </c>
      <c r="D300" s="2" t="s">
        <v>62</v>
      </c>
      <c r="E300" s="2">
        <v>42247</v>
      </c>
      <c r="F300" s="2">
        <v>29</v>
      </c>
      <c r="G300" s="2">
        <v>29995.37</v>
      </c>
      <c r="H300" s="2" t="s">
        <v>48</v>
      </c>
      <c r="I300" s="2">
        <v>5</v>
      </c>
    </row>
    <row r="301" spans="1:9" x14ac:dyDescent="0.25">
      <c r="A301" s="2" t="s">
        <v>553</v>
      </c>
      <c r="B301" s="2" t="s">
        <v>17</v>
      </c>
      <c r="C301" s="2" t="s">
        <v>223</v>
      </c>
      <c r="D301" s="2" t="s">
        <v>59</v>
      </c>
      <c r="E301" s="2">
        <v>28007</v>
      </c>
      <c r="F301" s="2">
        <v>30</v>
      </c>
      <c r="G301" s="2">
        <v>19604.900000000001</v>
      </c>
      <c r="H301" s="2" t="s">
        <v>51</v>
      </c>
      <c r="I301" s="2">
        <v>2</v>
      </c>
    </row>
    <row r="302" spans="1:9" x14ac:dyDescent="0.25">
      <c r="A302" s="2" t="s">
        <v>554</v>
      </c>
      <c r="B302" s="2" t="s">
        <v>16</v>
      </c>
      <c r="C302" s="2" t="s">
        <v>280</v>
      </c>
      <c r="D302" s="2" t="s">
        <v>54</v>
      </c>
      <c r="E302" s="2">
        <v>47030</v>
      </c>
      <c r="F302" s="2">
        <v>19</v>
      </c>
      <c r="G302" s="2">
        <v>38094.300000000003</v>
      </c>
      <c r="H302" s="2" t="s">
        <v>41</v>
      </c>
      <c r="I302" s="2">
        <v>4</v>
      </c>
    </row>
    <row r="303" spans="1:9" x14ac:dyDescent="0.25">
      <c r="A303" s="2" t="s">
        <v>555</v>
      </c>
      <c r="B303" s="2" t="s">
        <v>16</v>
      </c>
      <c r="C303" s="2" t="s">
        <v>556</v>
      </c>
      <c r="D303" s="2" t="s">
        <v>40</v>
      </c>
      <c r="E303" s="2">
        <v>18525</v>
      </c>
      <c r="F303" s="2">
        <v>48</v>
      </c>
      <c r="G303" s="2">
        <v>9633</v>
      </c>
      <c r="H303" s="2" t="s">
        <v>51</v>
      </c>
      <c r="I303" s="2">
        <v>2</v>
      </c>
    </row>
    <row r="304" spans="1:9" x14ac:dyDescent="0.25">
      <c r="A304" s="2" t="s">
        <v>557</v>
      </c>
      <c r="B304" s="2" t="s">
        <v>16</v>
      </c>
      <c r="C304" s="2" t="s">
        <v>240</v>
      </c>
      <c r="D304" s="2" t="s">
        <v>62</v>
      </c>
      <c r="E304" s="2">
        <v>49274</v>
      </c>
      <c r="F304" s="2">
        <v>28</v>
      </c>
      <c r="G304" s="2">
        <v>35477.279999999999</v>
      </c>
      <c r="H304" s="2" t="s">
        <v>48</v>
      </c>
      <c r="I304" s="2">
        <v>1</v>
      </c>
    </row>
    <row r="305" spans="1:9" x14ac:dyDescent="0.25">
      <c r="A305" s="2" t="s">
        <v>558</v>
      </c>
      <c r="B305" s="2" t="s">
        <v>16</v>
      </c>
      <c r="C305" s="2" t="s">
        <v>559</v>
      </c>
      <c r="D305" s="2" t="s">
        <v>44</v>
      </c>
      <c r="E305" s="2">
        <v>25895</v>
      </c>
      <c r="F305" s="2">
        <v>42</v>
      </c>
      <c r="G305" s="2">
        <v>15019.1</v>
      </c>
      <c r="H305" s="2" t="s">
        <v>48</v>
      </c>
      <c r="I305" s="2">
        <v>5</v>
      </c>
    </row>
    <row r="306" spans="1:9" x14ac:dyDescent="0.25">
      <c r="A306" s="2" t="s">
        <v>560</v>
      </c>
      <c r="B306" s="2" t="s">
        <v>17</v>
      </c>
      <c r="C306" s="2" t="s">
        <v>561</v>
      </c>
      <c r="D306" s="2" t="s">
        <v>62</v>
      </c>
      <c r="E306" s="2">
        <v>16037</v>
      </c>
      <c r="F306" s="2">
        <v>19</v>
      </c>
      <c r="G306" s="2">
        <v>12989.97</v>
      </c>
      <c r="H306" s="2" t="s">
        <v>51</v>
      </c>
      <c r="I306" s="2">
        <v>2</v>
      </c>
    </row>
    <row r="307" spans="1:9" x14ac:dyDescent="0.25">
      <c r="A307" s="2" t="s">
        <v>562</v>
      </c>
      <c r="B307" s="2" t="s">
        <v>16</v>
      </c>
      <c r="C307" s="2" t="s">
        <v>563</v>
      </c>
      <c r="D307" s="2" t="s">
        <v>40</v>
      </c>
      <c r="E307" s="2">
        <v>38380</v>
      </c>
      <c r="F307" s="2">
        <v>46</v>
      </c>
      <c r="G307" s="2">
        <v>20725.2</v>
      </c>
      <c r="H307" s="2" t="s">
        <v>45</v>
      </c>
      <c r="I307" s="2">
        <v>5</v>
      </c>
    </row>
    <row r="308" spans="1:9" x14ac:dyDescent="0.25">
      <c r="A308" s="2" t="s">
        <v>564</v>
      </c>
      <c r="B308" s="2" t="s">
        <v>17</v>
      </c>
      <c r="C308" s="2" t="s">
        <v>565</v>
      </c>
      <c r="D308" s="2" t="s">
        <v>40</v>
      </c>
      <c r="E308" s="2">
        <v>23475</v>
      </c>
      <c r="F308" s="2">
        <v>11</v>
      </c>
      <c r="G308" s="2">
        <v>20892.75</v>
      </c>
      <c r="H308" s="2" t="s">
        <v>48</v>
      </c>
      <c r="I308" s="2">
        <v>1</v>
      </c>
    </row>
    <row r="309" spans="1:9" x14ac:dyDescent="0.25">
      <c r="A309" s="2" t="s">
        <v>566</v>
      </c>
      <c r="B309" s="2" t="s">
        <v>16</v>
      </c>
      <c r="C309" s="2" t="s">
        <v>526</v>
      </c>
      <c r="D309" s="2" t="s">
        <v>40</v>
      </c>
      <c r="E309" s="2">
        <v>31415</v>
      </c>
      <c r="F309" s="2">
        <v>27</v>
      </c>
      <c r="G309" s="2">
        <v>22932.95</v>
      </c>
      <c r="H309" s="2" t="s">
        <v>48</v>
      </c>
      <c r="I309" s="2">
        <v>4</v>
      </c>
    </row>
    <row r="310" spans="1:9" x14ac:dyDescent="0.25">
      <c r="A310" s="2" t="s">
        <v>567</v>
      </c>
      <c r="B310" s="2" t="s">
        <v>16</v>
      </c>
      <c r="C310" s="2" t="s">
        <v>568</v>
      </c>
      <c r="D310" s="2" t="s">
        <v>44</v>
      </c>
      <c r="E310" s="2">
        <v>20532</v>
      </c>
      <c r="F310" s="2">
        <v>47</v>
      </c>
      <c r="G310" s="2">
        <v>10881.96</v>
      </c>
      <c r="H310" s="2" t="s">
        <v>48</v>
      </c>
      <c r="I310" s="2">
        <v>2</v>
      </c>
    </row>
    <row r="311" spans="1:9" x14ac:dyDescent="0.25">
      <c r="A311" s="2" t="s">
        <v>569</v>
      </c>
      <c r="B311" s="2" t="s">
        <v>16</v>
      </c>
      <c r="C311" s="2" t="s">
        <v>570</v>
      </c>
      <c r="D311" s="2" t="s">
        <v>62</v>
      </c>
      <c r="E311" s="2">
        <v>41369</v>
      </c>
      <c r="F311" s="2">
        <v>31</v>
      </c>
      <c r="G311" s="2">
        <v>28544.61</v>
      </c>
      <c r="H311" s="2" t="s">
        <v>48</v>
      </c>
      <c r="I311" s="2">
        <v>2</v>
      </c>
    </row>
    <row r="312" spans="1:9" x14ac:dyDescent="0.25">
      <c r="A312" s="2" t="s">
        <v>571</v>
      </c>
      <c r="B312" s="2" t="s">
        <v>17</v>
      </c>
      <c r="C312" s="2" t="s">
        <v>261</v>
      </c>
      <c r="D312" s="2" t="s">
        <v>59</v>
      </c>
      <c r="E312" s="2">
        <v>26609</v>
      </c>
      <c r="F312" s="2">
        <v>29</v>
      </c>
      <c r="G312" s="2">
        <v>18892.39</v>
      </c>
      <c r="H312" s="2" t="s">
        <v>51</v>
      </c>
      <c r="I312" s="2">
        <v>3</v>
      </c>
    </row>
    <row r="313" spans="1:9" x14ac:dyDescent="0.25">
      <c r="A313" s="2" t="s">
        <v>572</v>
      </c>
      <c r="B313" s="2" t="s">
        <v>17</v>
      </c>
      <c r="C313" s="2" t="s">
        <v>573</v>
      </c>
      <c r="D313" s="2" t="s">
        <v>54</v>
      </c>
      <c r="E313" s="2">
        <v>38001</v>
      </c>
      <c r="F313" s="2">
        <v>27</v>
      </c>
      <c r="G313" s="2">
        <v>27740.73</v>
      </c>
      <c r="H313" s="2" t="s">
        <v>48</v>
      </c>
      <c r="I313" s="2">
        <v>2</v>
      </c>
    </row>
    <row r="314" spans="1:9" x14ac:dyDescent="0.25">
      <c r="A314" s="2" t="s">
        <v>574</v>
      </c>
      <c r="B314" s="2" t="s">
        <v>17</v>
      </c>
      <c r="C314" s="2" t="s">
        <v>351</v>
      </c>
      <c r="D314" s="2" t="s">
        <v>44</v>
      </c>
      <c r="E314" s="2">
        <v>41800</v>
      </c>
      <c r="F314" s="2">
        <v>23</v>
      </c>
      <c r="G314" s="2">
        <v>32186</v>
      </c>
      <c r="H314" s="2" t="s">
        <v>41</v>
      </c>
      <c r="I314" s="2">
        <v>5</v>
      </c>
    </row>
    <row r="315" spans="1:9" x14ac:dyDescent="0.25">
      <c r="A315" s="2" t="s">
        <v>575</v>
      </c>
      <c r="B315" s="2" t="s">
        <v>16</v>
      </c>
      <c r="C315" s="2" t="s">
        <v>265</v>
      </c>
      <c r="D315" s="2" t="s">
        <v>40</v>
      </c>
      <c r="E315" s="2">
        <v>17523</v>
      </c>
      <c r="F315" s="2">
        <v>37</v>
      </c>
      <c r="G315" s="2">
        <v>11039.49</v>
      </c>
      <c r="H315" s="2" t="s">
        <v>48</v>
      </c>
      <c r="I315" s="2">
        <v>5</v>
      </c>
    </row>
    <row r="316" spans="1:9" x14ac:dyDescent="0.25">
      <c r="A316" s="2" t="s">
        <v>576</v>
      </c>
      <c r="B316" s="2" t="s">
        <v>17</v>
      </c>
      <c r="C316" s="2" t="s">
        <v>577</v>
      </c>
      <c r="D316" s="2" t="s">
        <v>62</v>
      </c>
      <c r="E316" s="2">
        <v>42379</v>
      </c>
      <c r="F316" s="2">
        <v>12</v>
      </c>
      <c r="G316" s="2">
        <v>37293.519999999997</v>
      </c>
      <c r="H316" s="2" t="s">
        <v>45</v>
      </c>
      <c r="I316" s="2">
        <v>1</v>
      </c>
    </row>
    <row r="317" spans="1:9" x14ac:dyDescent="0.25">
      <c r="A317" s="2" t="s">
        <v>578</v>
      </c>
      <c r="B317" s="2" t="s">
        <v>16</v>
      </c>
      <c r="C317" s="2" t="s">
        <v>579</v>
      </c>
      <c r="D317" s="2" t="s">
        <v>40</v>
      </c>
      <c r="E317" s="2">
        <v>31256</v>
      </c>
      <c r="F317" s="2">
        <v>28</v>
      </c>
      <c r="G317" s="2">
        <v>22504.32</v>
      </c>
      <c r="H317" s="2" t="s">
        <v>48</v>
      </c>
      <c r="I317" s="2">
        <v>4</v>
      </c>
    </row>
    <row r="318" spans="1:9" x14ac:dyDescent="0.25">
      <c r="A318" s="2" t="s">
        <v>580</v>
      </c>
      <c r="B318" s="2" t="s">
        <v>16</v>
      </c>
      <c r="C318" s="2" t="s">
        <v>581</v>
      </c>
      <c r="D318" s="2" t="s">
        <v>59</v>
      </c>
      <c r="E318" s="2">
        <v>12755</v>
      </c>
      <c r="F318" s="2">
        <v>35</v>
      </c>
      <c r="G318" s="2">
        <v>8290.75</v>
      </c>
      <c r="H318" s="2" t="s">
        <v>45</v>
      </c>
      <c r="I318" s="2">
        <v>1</v>
      </c>
    </row>
    <row r="319" spans="1:9" x14ac:dyDescent="0.25">
      <c r="A319" s="2" t="s">
        <v>582</v>
      </c>
      <c r="B319" s="2" t="s">
        <v>17</v>
      </c>
      <c r="C319" s="2" t="s">
        <v>542</v>
      </c>
      <c r="D319" s="2" t="s">
        <v>59</v>
      </c>
      <c r="E319" s="2">
        <v>27630</v>
      </c>
      <c r="F319" s="2">
        <v>9</v>
      </c>
      <c r="G319" s="2">
        <v>25143.3</v>
      </c>
      <c r="H319" s="2" t="s">
        <v>45</v>
      </c>
      <c r="I319" s="2">
        <v>4</v>
      </c>
    </row>
    <row r="320" spans="1:9" x14ac:dyDescent="0.25">
      <c r="A320" s="2" t="s">
        <v>583</v>
      </c>
      <c r="B320" s="2" t="s">
        <v>17</v>
      </c>
      <c r="C320" s="2" t="s">
        <v>308</v>
      </c>
      <c r="D320" s="2" t="s">
        <v>62</v>
      </c>
      <c r="E320" s="2">
        <v>7368</v>
      </c>
      <c r="F320" s="2">
        <v>24</v>
      </c>
      <c r="G320" s="2">
        <v>5599.68</v>
      </c>
      <c r="H320" s="2" t="s">
        <v>48</v>
      </c>
      <c r="I320" s="2">
        <v>3</v>
      </c>
    </row>
    <row r="321" spans="1:9" x14ac:dyDescent="0.25">
      <c r="A321" s="2" t="s">
        <v>584</v>
      </c>
      <c r="B321" s="2" t="s">
        <v>16</v>
      </c>
      <c r="C321" s="2" t="s">
        <v>585</v>
      </c>
      <c r="D321" s="2" t="s">
        <v>44</v>
      </c>
      <c r="E321" s="2">
        <v>1582</v>
      </c>
      <c r="F321" s="2">
        <v>28</v>
      </c>
      <c r="G321" s="2">
        <v>1139.04</v>
      </c>
      <c r="H321" s="2" t="s">
        <v>45</v>
      </c>
      <c r="I321" s="2">
        <v>5</v>
      </c>
    </row>
    <row r="322" spans="1:9" x14ac:dyDescent="0.25">
      <c r="A322" s="2" t="s">
        <v>586</v>
      </c>
      <c r="B322" s="2" t="s">
        <v>16</v>
      </c>
      <c r="C322" s="2" t="s">
        <v>94</v>
      </c>
      <c r="D322" s="2" t="s">
        <v>40</v>
      </c>
      <c r="E322" s="2">
        <v>30528</v>
      </c>
      <c r="F322" s="2">
        <v>15</v>
      </c>
      <c r="G322" s="2">
        <v>25948.799999999999</v>
      </c>
      <c r="H322" s="2" t="s">
        <v>51</v>
      </c>
      <c r="I322" s="2">
        <v>3</v>
      </c>
    </row>
    <row r="323" spans="1:9" x14ac:dyDescent="0.25">
      <c r="A323" s="2" t="s">
        <v>587</v>
      </c>
      <c r="B323" s="2" t="s">
        <v>16</v>
      </c>
      <c r="C323" s="2" t="s">
        <v>58</v>
      </c>
      <c r="D323" s="2" t="s">
        <v>40</v>
      </c>
      <c r="E323" s="2">
        <v>36252</v>
      </c>
      <c r="F323" s="2">
        <v>32</v>
      </c>
      <c r="G323" s="2">
        <v>24651.360000000001</v>
      </c>
      <c r="H323" s="2" t="s">
        <v>41</v>
      </c>
      <c r="I323" s="2">
        <v>2</v>
      </c>
    </row>
    <row r="324" spans="1:9" x14ac:dyDescent="0.25">
      <c r="A324" s="2" t="s">
        <v>588</v>
      </c>
      <c r="B324" s="2" t="s">
        <v>17</v>
      </c>
      <c r="C324" s="2" t="s">
        <v>384</v>
      </c>
      <c r="D324" s="2" t="s">
        <v>54</v>
      </c>
      <c r="E324" s="2">
        <v>43328</v>
      </c>
      <c r="F324" s="2">
        <v>24</v>
      </c>
      <c r="G324" s="2">
        <v>32929.279999999999</v>
      </c>
      <c r="H324" s="2" t="s">
        <v>48</v>
      </c>
      <c r="I324" s="2">
        <v>2</v>
      </c>
    </row>
    <row r="325" spans="1:9" x14ac:dyDescent="0.25">
      <c r="A325" s="2" t="s">
        <v>589</v>
      </c>
      <c r="B325" s="2" t="s">
        <v>16</v>
      </c>
      <c r="C325" s="2" t="s">
        <v>590</v>
      </c>
      <c r="D325" s="2" t="s">
        <v>62</v>
      </c>
      <c r="E325" s="2">
        <v>39224</v>
      </c>
      <c r="F325" s="2">
        <v>50</v>
      </c>
      <c r="G325" s="2">
        <v>19612</v>
      </c>
      <c r="H325" s="2" t="s">
        <v>41</v>
      </c>
      <c r="I325" s="2">
        <v>3</v>
      </c>
    </row>
    <row r="326" spans="1:9" x14ac:dyDescent="0.25">
      <c r="A326" s="2" t="s">
        <v>591</v>
      </c>
      <c r="B326" s="2" t="s">
        <v>17</v>
      </c>
      <c r="C326" s="2" t="s">
        <v>78</v>
      </c>
      <c r="D326" s="2" t="s">
        <v>54</v>
      </c>
      <c r="E326" s="2">
        <v>15906</v>
      </c>
      <c r="F326" s="2">
        <v>6</v>
      </c>
      <c r="G326" s="2">
        <v>14951.64</v>
      </c>
      <c r="H326" s="2" t="s">
        <v>41</v>
      </c>
      <c r="I326" s="2">
        <v>1</v>
      </c>
    </row>
    <row r="327" spans="1:9" x14ac:dyDescent="0.25">
      <c r="A327" s="2" t="s">
        <v>592</v>
      </c>
      <c r="B327" s="2" t="s">
        <v>16</v>
      </c>
      <c r="C327" s="2" t="s">
        <v>593</v>
      </c>
      <c r="D327" s="2" t="s">
        <v>54</v>
      </c>
      <c r="E327" s="2">
        <v>6007</v>
      </c>
      <c r="F327" s="2">
        <v>15</v>
      </c>
      <c r="G327" s="2">
        <v>5105.95</v>
      </c>
      <c r="H327" s="2" t="s">
        <v>51</v>
      </c>
      <c r="I327" s="2">
        <v>5</v>
      </c>
    </row>
    <row r="328" spans="1:9" x14ac:dyDescent="0.25">
      <c r="A328" s="2" t="s">
        <v>594</v>
      </c>
      <c r="B328" s="2" t="s">
        <v>16</v>
      </c>
      <c r="C328" s="2" t="s">
        <v>355</v>
      </c>
      <c r="D328" s="2" t="s">
        <v>62</v>
      </c>
      <c r="E328" s="2">
        <v>13743</v>
      </c>
      <c r="F328" s="2">
        <v>43</v>
      </c>
      <c r="G328" s="2">
        <v>7833.51</v>
      </c>
      <c r="H328" s="2" t="s">
        <v>48</v>
      </c>
      <c r="I328" s="2">
        <v>4</v>
      </c>
    </row>
    <row r="329" spans="1:9" x14ac:dyDescent="0.25">
      <c r="A329" s="2" t="s">
        <v>595</v>
      </c>
      <c r="B329" s="2" t="s">
        <v>16</v>
      </c>
      <c r="C329" s="2" t="s">
        <v>353</v>
      </c>
      <c r="D329" s="2" t="s">
        <v>59</v>
      </c>
      <c r="E329" s="2">
        <v>29491</v>
      </c>
      <c r="F329" s="2">
        <v>36</v>
      </c>
      <c r="G329" s="2">
        <v>18874.240000000002</v>
      </c>
      <c r="H329" s="2" t="s">
        <v>45</v>
      </c>
      <c r="I329" s="2">
        <v>5</v>
      </c>
    </row>
    <row r="330" spans="1:9" x14ac:dyDescent="0.25">
      <c r="A330" s="2" t="s">
        <v>596</v>
      </c>
      <c r="B330" s="2" t="s">
        <v>16</v>
      </c>
      <c r="C330" s="2" t="s">
        <v>573</v>
      </c>
      <c r="D330" s="2" t="s">
        <v>54</v>
      </c>
      <c r="E330" s="2">
        <v>1714</v>
      </c>
      <c r="F330" s="2">
        <v>17</v>
      </c>
      <c r="G330" s="2">
        <v>1422.62</v>
      </c>
      <c r="H330" s="2" t="s">
        <v>51</v>
      </c>
      <c r="I330" s="2">
        <v>3</v>
      </c>
    </row>
    <row r="331" spans="1:9" x14ac:dyDescent="0.25">
      <c r="A331" s="2" t="s">
        <v>597</v>
      </c>
      <c r="B331" s="2" t="s">
        <v>16</v>
      </c>
      <c r="C331" s="2" t="s">
        <v>331</v>
      </c>
      <c r="D331" s="2" t="s">
        <v>59</v>
      </c>
      <c r="E331" s="2">
        <v>9267</v>
      </c>
      <c r="F331" s="2">
        <v>16</v>
      </c>
      <c r="G331" s="2">
        <v>7784.28</v>
      </c>
      <c r="H331" s="2" t="s">
        <v>48</v>
      </c>
      <c r="I331" s="2">
        <v>2</v>
      </c>
    </row>
    <row r="332" spans="1:9" x14ac:dyDescent="0.25">
      <c r="A332" s="2" t="s">
        <v>598</v>
      </c>
      <c r="B332" s="2" t="s">
        <v>17</v>
      </c>
      <c r="C332" s="2" t="s">
        <v>599</v>
      </c>
      <c r="D332" s="2" t="s">
        <v>40</v>
      </c>
      <c r="E332" s="2">
        <v>15198</v>
      </c>
      <c r="F332" s="2">
        <v>5</v>
      </c>
      <c r="G332" s="2">
        <v>14438.1</v>
      </c>
      <c r="H332" s="2" t="s">
        <v>41</v>
      </c>
      <c r="I332" s="2">
        <v>2</v>
      </c>
    </row>
    <row r="333" spans="1:9" x14ac:dyDescent="0.25">
      <c r="A333" s="2" t="s">
        <v>600</v>
      </c>
      <c r="B333" s="2" t="s">
        <v>16</v>
      </c>
      <c r="C333" s="2" t="s">
        <v>601</v>
      </c>
      <c r="D333" s="2" t="s">
        <v>54</v>
      </c>
      <c r="E333" s="2">
        <v>37285</v>
      </c>
      <c r="F333" s="2">
        <v>48</v>
      </c>
      <c r="G333" s="2">
        <v>19388.2</v>
      </c>
      <c r="H333" s="2" t="s">
        <v>41</v>
      </c>
      <c r="I333" s="2">
        <v>4</v>
      </c>
    </row>
    <row r="334" spans="1:9" x14ac:dyDescent="0.25">
      <c r="A334" s="2" t="s">
        <v>602</v>
      </c>
      <c r="B334" s="2" t="s">
        <v>17</v>
      </c>
      <c r="C334" s="2" t="s">
        <v>236</v>
      </c>
      <c r="D334" s="2" t="s">
        <v>54</v>
      </c>
      <c r="E334" s="2">
        <v>15990</v>
      </c>
      <c r="F334" s="2">
        <v>14</v>
      </c>
      <c r="G334" s="2">
        <v>13751.4</v>
      </c>
      <c r="H334" s="2" t="s">
        <v>45</v>
      </c>
      <c r="I334" s="2">
        <v>1</v>
      </c>
    </row>
    <row r="335" spans="1:9" x14ac:dyDescent="0.25">
      <c r="A335" s="2" t="s">
        <v>603</v>
      </c>
      <c r="B335" s="2" t="s">
        <v>17</v>
      </c>
      <c r="C335" s="2" t="s">
        <v>604</v>
      </c>
      <c r="D335" s="2" t="s">
        <v>40</v>
      </c>
      <c r="E335" s="2">
        <v>46377</v>
      </c>
      <c r="F335" s="2">
        <v>8</v>
      </c>
      <c r="G335" s="2">
        <v>42666.84</v>
      </c>
      <c r="H335" s="2" t="s">
        <v>41</v>
      </c>
      <c r="I335" s="2">
        <v>3</v>
      </c>
    </row>
    <row r="336" spans="1:9" x14ac:dyDescent="0.25">
      <c r="A336" s="2" t="s">
        <v>605</v>
      </c>
      <c r="B336" s="2" t="s">
        <v>17</v>
      </c>
      <c r="C336" s="2" t="s">
        <v>298</v>
      </c>
      <c r="D336" s="2" t="s">
        <v>59</v>
      </c>
      <c r="E336" s="2">
        <v>47412</v>
      </c>
      <c r="F336" s="2">
        <v>30</v>
      </c>
      <c r="G336" s="2">
        <v>33188.400000000001</v>
      </c>
      <c r="H336" s="2" t="s">
        <v>48</v>
      </c>
      <c r="I336" s="2">
        <v>2</v>
      </c>
    </row>
    <row r="337" spans="1:9" x14ac:dyDescent="0.25">
      <c r="A337" s="2" t="s">
        <v>606</v>
      </c>
      <c r="B337" s="2" t="s">
        <v>17</v>
      </c>
      <c r="C337" s="2" t="s">
        <v>607</v>
      </c>
      <c r="D337" s="2" t="s">
        <v>40</v>
      </c>
      <c r="E337" s="2">
        <v>3510</v>
      </c>
      <c r="F337" s="2">
        <v>30</v>
      </c>
      <c r="G337" s="2">
        <v>2457</v>
      </c>
      <c r="H337" s="2" t="s">
        <v>51</v>
      </c>
      <c r="I337" s="2">
        <v>3</v>
      </c>
    </row>
    <row r="338" spans="1:9" x14ac:dyDescent="0.25">
      <c r="A338" s="2" t="s">
        <v>608</v>
      </c>
      <c r="B338" s="2" t="s">
        <v>16</v>
      </c>
      <c r="C338" s="2" t="s">
        <v>609</v>
      </c>
      <c r="D338" s="2" t="s">
        <v>40</v>
      </c>
      <c r="E338" s="2">
        <v>6724</v>
      </c>
      <c r="F338" s="2">
        <v>19</v>
      </c>
      <c r="G338" s="2">
        <v>5446.44</v>
      </c>
      <c r="H338" s="2" t="s">
        <v>48</v>
      </c>
      <c r="I338" s="2">
        <v>1</v>
      </c>
    </row>
    <row r="339" spans="1:9" x14ac:dyDescent="0.25">
      <c r="A339" s="2" t="s">
        <v>610</v>
      </c>
      <c r="B339" s="2" t="s">
        <v>17</v>
      </c>
      <c r="C339" s="2" t="s">
        <v>43</v>
      </c>
      <c r="D339" s="2" t="s">
        <v>59</v>
      </c>
      <c r="E339" s="2">
        <v>10498</v>
      </c>
      <c r="F339" s="2">
        <v>21</v>
      </c>
      <c r="G339" s="2">
        <v>8293.42</v>
      </c>
      <c r="H339" s="2" t="s">
        <v>41</v>
      </c>
      <c r="I339" s="2">
        <v>5</v>
      </c>
    </row>
    <row r="340" spans="1:9" x14ac:dyDescent="0.25">
      <c r="A340" s="2" t="s">
        <v>611</v>
      </c>
      <c r="B340" s="2" t="s">
        <v>16</v>
      </c>
      <c r="C340" s="2" t="s">
        <v>375</v>
      </c>
      <c r="D340" s="2" t="s">
        <v>54</v>
      </c>
      <c r="E340" s="2">
        <v>16456</v>
      </c>
      <c r="F340" s="2">
        <v>22</v>
      </c>
      <c r="G340" s="2">
        <v>12835.68</v>
      </c>
      <c r="H340" s="2" t="s">
        <v>51</v>
      </c>
      <c r="I340" s="2">
        <v>3</v>
      </c>
    </row>
    <row r="341" spans="1:9" x14ac:dyDescent="0.25">
      <c r="A341" s="2" t="s">
        <v>612</v>
      </c>
      <c r="B341" s="2" t="s">
        <v>16</v>
      </c>
      <c r="C341" s="2" t="s">
        <v>613</v>
      </c>
      <c r="D341" s="2" t="s">
        <v>40</v>
      </c>
      <c r="E341" s="2">
        <v>27038</v>
      </c>
      <c r="F341" s="2">
        <v>35</v>
      </c>
      <c r="G341" s="2">
        <v>17574.7</v>
      </c>
      <c r="H341" s="2" t="s">
        <v>48</v>
      </c>
      <c r="I341" s="2">
        <v>5</v>
      </c>
    </row>
    <row r="342" spans="1:9" x14ac:dyDescent="0.25">
      <c r="A342" s="2" t="s">
        <v>614</v>
      </c>
      <c r="B342" s="2" t="s">
        <v>16</v>
      </c>
      <c r="C342" s="2" t="s">
        <v>162</v>
      </c>
      <c r="D342" s="2" t="s">
        <v>62</v>
      </c>
      <c r="E342" s="2">
        <v>32528</v>
      </c>
      <c r="F342" s="2">
        <v>32</v>
      </c>
      <c r="G342" s="2">
        <v>22119.040000000001</v>
      </c>
      <c r="H342" s="2" t="s">
        <v>48</v>
      </c>
      <c r="I342" s="2">
        <v>1</v>
      </c>
    </row>
    <row r="343" spans="1:9" x14ac:dyDescent="0.25">
      <c r="A343" s="2" t="s">
        <v>615</v>
      </c>
      <c r="B343" s="2" t="s">
        <v>17</v>
      </c>
      <c r="C343" s="2" t="s">
        <v>166</v>
      </c>
      <c r="D343" s="2" t="s">
        <v>59</v>
      </c>
      <c r="E343" s="2">
        <v>30392</v>
      </c>
      <c r="F343" s="2">
        <v>20</v>
      </c>
      <c r="G343" s="2">
        <v>24313.599999999999</v>
      </c>
      <c r="H343" s="2" t="s">
        <v>48</v>
      </c>
      <c r="I343" s="2">
        <v>1</v>
      </c>
    </row>
    <row r="344" spans="1:9" x14ac:dyDescent="0.25">
      <c r="A344" s="2" t="s">
        <v>616</v>
      </c>
      <c r="B344" s="2" t="s">
        <v>16</v>
      </c>
      <c r="C344" s="2" t="s">
        <v>288</v>
      </c>
      <c r="D344" s="2" t="s">
        <v>54</v>
      </c>
      <c r="E344" s="2">
        <v>25682</v>
      </c>
      <c r="F344" s="2">
        <v>23</v>
      </c>
      <c r="G344" s="2">
        <v>19775.14</v>
      </c>
      <c r="H344" s="2" t="s">
        <v>45</v>
      </c>
      <c r="I344" s="2">
        <v>3</v>
      </c>
    </row>
    <row r="345" spans="1:9" x14ac:dyDescent="0.25">
      <c r="A345" s="2" t="s">
        <v>617</v>
      </c>
      <c r="B345" s="2" t="s">
        <v>16</v>
      </c>
      <c r="C345" s="2" t="s">
        <v>498</v>
      </c>
      <c r="D345" s="2" t="s">
        <v>59</v>
      </c>
      <c r="E345" s="2">
        <v>12673</v>
      </c>
      <c r="F345" s="2">
        <v>22</v>
      </c>
      <c r="G345" s="2">
        <v>9884.94</v>
      </c>
      <c r="H345" s="2" t="s">
        <v>48</v>
      </c>
      <c r="I345" s="2">
        <v>3</v>
      </c>
    </row>
    <row r="346" spans="1:9" x14ac:dyDescent="0.25">
      <c r="A346" s="2" t="s">
        <v>618</v>
      </c>
      <c r="B346" s="2" t="s">
        <v>16</v>
      </c>
      <c r="C346" s="2" t="s">
        <v>619</v>
      </c>
      <c r="D346" s="2" t="s">
        <v>54</v>
      </c>
      <c r="E346" s="2">
        <v>49518</v>
      </c>
      <c r="F346" s="2">
        <v>38</v>
      </c>
      <c r="G346" s="2">
        <v>30701.16</v>
      </c>
      <c r="H346" s="2" t="s">
        <v>48</v>
      </c>
      <c r="I346" s="2">
        <v>4</v>
      </c>
    </row>
    <row r="347" spans="1:9" x14ac:dyDescent="0.25">
      <c r="A347" s="2" t="s">
        <v>620</v>
      </c>
      <c r="B347" s="2" t="s">
        <v>17</v>
      </c>
      <c r="C347" s="2" t="s">
        <v>294</v>
      </c>
      <c r="D347" s="2" t="s">
        <v>54</v>
      </c>
      <c r="E347" s="2">
        <v>5714</v>
      </c>
      <c r="F347" s="2">
        <v>13</v>
      </c>
      <c r="G347" s="2">
        <v>4971.18</v>
      </c>
      <c r="H347" s="2" t="s">
        <v>45</v>
      </c>
      <c r="I347" s="2">
        <v>4</v>
      </c>
    </row>
    <row r="348" spans="1:9" x14ac:dyDescent="0.25">
      <c r="A348" s="2" t="s">
        <v>621</v>
      </c>
      <c r="B348" s="2" t="s">
        <v>17</v>
      </c>
      <c r="C348" s="2" t="s">
        <v>593</v>
      </c>
      <c r="D348" s="2" t="s">
        <v>44</v>
      </c>
      <c r="E348" s="2">
        <v>43404</v>
      </c>
      <c r="F348" s="2">
        <v>9</v>
      </c>
      <c r="G348" s="2">
        <v>39497.64</v>
      </c>
      <c r="H348" s="2" t="s">
        <v>48</v>
      </c>
      <c r="I348" s="2">
        <v>3</v>
      </c>
    </row>
    <row r="349" spans="1:9" x14ac:dyDescent="0.25">
      <c r="A349" s="2" t="s">
        <v>622</v>
      </c>
      <c r="B349" s="2" t="s">
        <v>16</v>
      </c>
      <c r="C349" s="2" t="s">
        <v>416</v>
      </c>
      <c r="D349" s="2" t="s">
        <v>44</v>
      </c>
      <c r="E349" s="2">
        <v>21227</v>
      </c>
      <c r="F349" s="2">
        <v>31</v>
      </c>
      <c r="G349" s="2">
        <v>14646.63</v>
      </c>
      <c r="H349" s="2" t="s">
        <v>48</v>
      </c>
      <c r="I349" s="2">
        <v>5</v>
      </c>
    </row>
    <row r="350" spans="1:9" x14ac:dyDescent="0.25">
      <c r="A350" s="2" t="s">
        <v>623</v>
      </c>
      <c r="B350" s="2" t="s">
        <v>17</v>
      </c>
      <c r="C350" s="2" t="s">
        <v>624</v>
      </c>
      <c r="D350" s="2" t="s">
        <v>59</v>
      </c>
      <c r="E350" s="2">
        <v>12791</v>
      </c>
      <c r="F350" s="2">
        <v>6</v>
      </c>
      <c r="G350" s="2">
        <v>12023.54</v>
      </c>
      <c r="H350" s="2" t="s">
        <v>48</v>
      </c>
      <c r="I350" s="2">
        <v>1</v>
      </c>
    </row>
    <row r="351" spans="1:9" x14ac:dyDescent="0.25">
      <c r="A351" s="2" t="s">
        <v>625</v>
      </c>
      <c r="B351" s="2" t="s">
        <v>16</v>
      </c>
      <c r="C351" s="2" t="s">
        <v>390</v>
      </c>
      <c r="D351" s="2" t="s">
        <v>54</v>
      </c>
      <c r="E351" s="2">
        <v>30877</v>
      </c>
      <c r="F351" s="2">
        <v>25</v>
      </c>
      <c r="G351" s="2">
        <v>23157.75</v>
      </c>
      <c r="H351" s="2" t="s">
        <v>45</v>
      </c>
      <c r="I35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survey</vt:lpstr>
      <vt:lpstr>Product_Insights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 deshwal</cp:lastModifiedBy>
  <dcterms:created xsi:type="dcterms:W3CDTF">2026-03-31T05:53:43Z</dcterms:created>
  <dcterms:modified xsi:type="dcterms:W3CDTF">2026-03-31T06:15:22Z</dcterms:modified>
</cp:coreProperties>
</file>